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252348\Masaryk University Work 2024\New project\SPX\22-days ahead forecasts\new model 2 with FLR matrix\model 56\Professor.results\Revisions-IJF\new figures-tables\"/>
    </mc:Choice>
  </mc:AlternateContent>
  <xr:revisionPtr revIDLastSave="0" documentId="13_ncr:1_{C4A226F4-DE20-4643-BEBD-A89C05F13BE9}" xr6:coauthVersionLast="47" xr6:coauthVersionMax="47" xr10:uidLastSave="{00000000-0000-0000-0000-000000000000}"/>
  <bookViews>
    <workbookView xWindow="-108" yWindow="-108" windowWidth="23256" windowHeight="13896" tabRatio="795" xr2:uid="{00000000-000D-0000-FFFF-FFFF00000000}"/>
  </bookViews>
  <sheets>
    <sheet name="Table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2" l="1"/>
  <c r="E39" i="2"/>
  <c r="F39" i="2"/>
  <c r="G39" i="2"/>
  <c r="H39" i="2"/>
  <c r="I39" i="2"/>
  <c r="J39" i="2"/>
  <c r="K39" i="2"/>
  <c r="L39" i="2"/>
  <c r="M39" i="2"/>
  <c r="N39" i="2"/>
  <c r="O39" i="2"/>
  <c r="P39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C42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C41" i="2"/>
  <c r="C39" i="2"/>
  <c r="C38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C36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C26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C25" i="2"/>
  <c r="D6" i="2"/>
  <c r="E6" i="2"/>
  <c r="E7" i="2" s="1"/>
  <c r="F6" i="2"/>
  <c r="F23" i="2" s="1"/>
  <c r="G6" i="2"/>
  <c r="G23" i="2" s="1"/>
  <c r="H6" i="2"/>
  <c r="I6" i="2"/>
  <c r="J6" i="2"/>
  <c r="J23" i="2" s="1"/>
  <c r="K6" i="2"/>
  <c r="L6" i="2"/>
  <c r="M6" i="2"/>
  <c r="N6" i="2"/>
  <c r="O6" i="2"/>
  <c r="O17" i="2" s="1"/>
  <c r="P6" i="2"/>
  <c r="P10" i="2" s="1"/>
  <c r="C6" i="2"/>
  <c r="C22" i="2" s="1"/>
  <c r="C23" i="2"/>
  <c r="D23" i="2"/>
  <c r="H23" i="2"/>
  <c r="I23" i="2"/>
  <c r="K23" i="2"/>
  <c r="L23" i="2"/>
  <c r="M23" i="2"/>
  <c r="N23" i="2"/>
  <c r="O23" i="2"/>
  <c r="P23" i="2"/>
  <c r="D22" i="2"/>
  <c r="H22" i="2"/>
  <c r="I22" i="2"/>
  <c r="K22" i="2"/>
  <c r="L22" i="2"/>
  <c r="M22" i="2"/>
  <c r="N22" i="2"/>
  <c r="O22" i="2"/>
  <c r="P22" i="2"/>
  <c r="D20" i="2"/>
  <c r="H20" i="2"/>
  <c r="I20" i="2"/>
  <c r="J20" i="2"/>
  <c r="K20" i="2"/>
  <c r="D19" i="2"/>
  <c r="E19" i="2"/>
  <c r="H19" i="2"/>
  <c r="I19" i="2"/>
  <c r="K19" i="2"/>
  <c r="L19" i="2"/>
  <c r="M19" i="2"/>
  <c r="N19" i="2"/>
  <c r="O19" i="2"/>
  <c r="P19" i="2"/>
  <c r="C19" i="2"/>
  <c r="D8" i="2"/>
  <c r="H8" i="2"/>
  <c r="I8" i="2"/>
  <c r="K8" i="2"/>
  <c r="M8" i="2"/>
  <c r="N8" i="2"/>
  <c r="O8" i="2"/>
  <c r="D9" i="2"/>
  <c r="H9" i="2"/>
  <c r="I9" i="2"/>
  <c r="K9" i="2"/>
  <c r="L9" i="2"/>
  <c r="M9" i="2"/>
  <c r="N9" i="2"/>
  <c r="O9" i="2"/>
  <c r="P9" i="2"/>
  <c r="D10" i="2"/>
  <c r="H10" i="2"/>
  <c r="I10" i="2"/>
  <c r="J10" i="2"/>
  <c r="K10" i="2"/>
  <c r="L10" i="2"/>
  <c r="M10" i="2"/>
  <c r="N10" i="2"/>
  <c r="O10" i="2"/>
  <c r="D11" i="2"/>
  <c r="H11" i="2"/>
  <c r="I11" i="2"/>
  <c r="J11" i="2"/>
  <c r="K11" i="2"/>
  <c r="L11" i="2"/>
  <c r="M11" i="2"/>
  <c r="N11" i="2"/>
  <c r="O11" i="2"/>
  <c r="P11" i="2"/>
  <c r="D12" i="2"/>
  <c r="H12" i="2"/>
  <c r="I12" i="2"/>
  <c r="J12" i="2"/>
  <c r="K12" i="2"/>
  <c r="L12" i="2"/>
  <c r="M12" i="2"/>
  <c r="N12" i="2"/>
  <c r="O12" i="2"/>
  <c r="P12" i="2"/>
  <c r="D13" i="2"/>
  <c r="H13" i="2"/>
  <c r="I13" i="2"/>
  <c r="N13" i="2"/>
  <c r="O13" i="2"/>
  <c r="P13" i="2"/>
  <c r="D14" i="2"/>
  <c r="H14" i="2"/>
  <c r="I14" i="2"/>
  <c r="J14" i="2"/>
  <c r="K14" i="2"/>
  <c r="L14" i="2"/>
  <c r="M14" i="2"/>
  <c r="N14" i="2"/>
  <c r="O14" i="2"/>
  <c r="P14" i="2"/>
  <c r="D15" i="2"/>
  <c r="H15" i="2"/>
  <c r="I15" i="2"/>
  <c r="J15" i="2"/>
  <c r="K15" i="2"/>
  <c r="L15" i="2"/>
  <c r="M15" i="2"/>
  <c r="D16" i="2"/>
  <c r="H16" i="2"/>
  <c r="I16" i="2"/>
  <c r="J16" i="2"/>
  <c r="K16" i="2"/>
  <c r="L16" i="2"/>
  <c r="M16" i="2"/>
  <c r="N16" i="2"/>
  <c r="O16" i="2"/>
  <c r="P16" i="2"/>
  <c r="D17" i="2"/>
  <c r="H17" i="2"/>
  <c r="I17" i="2"/>
  <c r="J17" i="2"/>
  <c r="K17" i="2"/>
  <c r="L17" i="2"/>
  <c r="M17" i="2"/>
  <c r="D7" i="2"/>
  <c r="H7" i="2"/>
  <c r="I7" i="2"/>
  <c r="K7" i="2"/>
  <c r="L7" i="2"/>
  <c r="M7" i="2"/>
  <c r="N7" i="2"/>
  <c r="O7" i="2"/>
  <c r="P7" i="2"/>
  <c r="E23" i="2" l="1"/>
  <c r="G17" i="2"/>
  <c r="F17" i="2"/>
  <c r="G15" i="2"/>
  <c r="E13" i="2"/>
  <c r="G12" i="2"/>
  <c r="J9" i="2"/>
  <c r="J8" i="2"/>
  <c r="G16" i="2"/>
  <c r="F15" i="2"/>
  <c r="F12" i="2"/>
  <c r="G10" i="2"/>
  <c r="E17" i="2"/>
  <c r="F16" i="2"/>
  <c r="E15" i="2"/>
  <c r="G14" i="2"/>
  <c r="C13" i="2"/>
  <c r="E12" i="2"/>
  <c r="E11" i="2"/>
  <c r="F10" i="2"/>
  <c r="G20" i="2"/>
  <c r="J22" i="2"/>
  <c r="J7" i="2"/>
  <c r="C17" i="2"/>
  <c r="E16" i="2"/>
  <c r="F14" i="2"/>
  <c r="E10" i="2"/>
  <c r="G9" i="2"/>
  <c r="G8" i="2"/>
  <c r="J19" i="2"/>
  <c r="F20" i="2"/>
  <c r="C15" i="2"/>
  <c r="E14" i="2"/>
  <c r="C12" i="2"/>
  <c r="C11" i="2"/>
  <c r="F9" i="2"/>
  <c r="F8" i="2"/>
  <c r="E20" i="2"/>
  <c r="C16" i="2"/>
  <c r="C10" i="2"/>
  <c r="E9" i="2"/>
  <c r="E8" i="2"/>
  <c r="G22" i="2"/>
  <c r="C7" i="2"/>
  <c r="C14" i="2"/>
  <c r="G19" i="2"/>
  <c r="C20" i="2"/>
  <c r="F22" i="2"/>
  <c r="C9" i="2"/>
  <c r="C8" i="2"/>
  <c r="F19" i="2"/>
  <c r="E22" i="2"/>
  <c r="G7" i="2"/>
  <c r="P15" i="2"/>
  <c r="L13" i="2"/>
  <c r="N20" i="2"/>
  <c r="M20" i="2"/>
  <c r="P20" i="2"/>
  <c r="M13" i="2"/>
  <c r="O20" i="2"/>
  <c r="F7" i="2"/>
  <c r="O15" i="2"/>
  <c r="K13" i="2"/>
  <c r="G11" i="2"/>
  <c r="N15" i="2"/>
  <c r="J13" i="2"/>
  <c r="F11" i="2"/>
  <c r="P8" i="2"/>
  <c r="L20" i="2"/>
  <c r="P17" i="2"/>
  <c r="G13" i="2"/>
  <c r="N17" i="2"/>
  <c r="F13" i="2"/>
  <c r="L8" i="2"/>
</calcChain>
</file>

<file path=xl/sharedStrings.xml><?xml version="1.0" encoding="utf-8"?>
<sst xmlns="http://schemas.openxmlformats.org/spreadsheetml/2006/main" count="101" uniqueCount="52">
  <si>
    <t>AR</t>
  </si>
  <si>
    <t>HAR</t>
  </si>
  <si>
    <t>HARSV</t>
  </si>
  <si>
    <t>HARCJ</t>
  </si>
  <si>
    <t>HARSJ</t>
  </si>
  <si>
    <t>AUS</t>
  </si>
  <si>
    <t>IND</t>
  </si>
  <si>
    <t>FRA</t>
  </si>
  <si>
    <t>GBR</t>
  </si>
  <si>
    <t>DEU</t>
  </si>
  <si>
    <t>CAN</t>
  </si>
  <si>
    <t>HKG</t>
  </si>
  <si>
    <t>USA-1</t>
  </si>
  <si>
    <t>KOR</t>
  </si>
  <si>
    <t>JPN</t>
  </si>
  <si>
    <t>CHN</t>
  </si>
  <si>
    <t>CHE</t>
  </si>
  <si>
    <t>USA-2</t>
  </si>
  <si>
    <t>EUR</t>
  </si>
  <si>
    <t>GARCH</t>
  </si>
  <si>
    <t>RV-FTS</t>
  </si>
  <si>
    <t>FR-GARCH</t>
  </si>
  <si>
    <t>CC-Bench</t>
  </si>
  <si>
    <t>CC-FTS</t>
  </si>
  <si>
    <t>HAR [MSE]</t>
  </si>
  <si>
    <t>sGARCH</t>
  </si>
  <si>
    <t>FR_sGARCH</t>
  </si>
  <si>
    <t>EW1</t>
  </si>
  <si>
    <t>EW2</t>
  </si>
  <si>
    <t>FTS_VH</t>
  </si>
  <si>
    <t>FTSS_VH</t>
  </si>
  <si>
    <t>HFT2</t>
  </si>
  <si>
    <t>RF3</t>
  </si>
  <si>
    <t>RF4</t>
  </si>
  <si>
    <t>CR0</t>
  </si>
  <si>
    <t>CR1</t>
  </si>
  <si>
    <t>Panel A: Loss comparison with individual volatility models relative to the HAR model</t>
  </si>
  <si>
    <t>HAR-FTS</t>
  </si>
  <si>
    <t>RV-FTS opt.</t>
  </si>
  <si>
    <t>Panel C: Loss comparison with combination volatility models relative to the HAR model</t>
  </si>
  <si>
    <t>RV-RF</t>
  </si>
  <si>
    <t>RV-RF-FTS</t>
  </si>
  <si>
    <t>Panel B: Loss comparison with combined models relative to the HAR model</t>
  </si>
  <si>
    <t>RV-EW opt.</t>
  </si>
  <si>
    <t>RV-EW</t>
  </si>
  <si>
    <t>RV-EW opt</t>
  </si>
  <si>
    <t>RV-FTS opt</t>
  </si>
  <si>
    <t>Panel D: Average ranking comparison with individual volatility models relative to the HAR model</t>
  </si>
  <si>
    <t>Panel E: Average ranking comparison with combined models relative to the HAR model</t>
  </si>
  <si>
    <t>Panel F: Average ranking comparison with combination volatility models relative to the HAR model</t>
  </si>
  <si>
    <t>Notes: The values for row HAR in Panel A correspond to the MSE. Values from remaining rows of Panel A to Panel C are relative mean square errors (RMSE) comparisons against the benchmark HAR model. Numbers below 1 indicate improvement against the benchmark. In Panels D to F we report average rank (preference) of a model. USA-1 corresponds to S&amp;P 500 market index and USA-2 to the NASDAQ 100 index.</t>
  </si>
  <si>
    <t>Table 2 Day-ahead forecasts under 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</si>
</sst>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6" fontId="0" fillId="0" borderId="0" xfId="1" applyNumberFormat="1" applyFont="1" applyAlignment="1">
      <alignment horizontal="left"/>
    </xf>
    <xf numFmtId="166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64" fontId="0" fillId="0" borderId="1" xfId="0" applyNumberFormat="1" applyBorder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166" fontId="3" fillId="0" borderId="0" xfId="1" applyNumberFormat="1" applyFont="1" applyAlignment="1">
      <alignment horizontal="center"/>
    </xf>
    <xf numFmtId="166" fontId="0" fillId="0" borderId="0" xfId="1" applyNumberFormat="1" applyFont="1" applyBorder="1" applyAlignment="1">
      <alignment horizontal="center"/>
    </xf>
    <xf numFmtId="166" fontId="3" fillId="0" borderId="0" xfId="1" applyNumberFormat="1" applyFont="1" applyBorder="1" applyAlignment="1">
      <alignment horizontal="center"/>
    </xf>
    <xf numFmtId="2" fontId="0" fillId="0" borderId="0" xfId="1" applyNumberFormat="1" applyFont="1" applyAlignment="1">
      <alignment horizontal="center"/>
    </xf>
    <xf numFmtId="2" fontId="0" fillId="0" borderId="0" xfId="1" applyNumberFormat="1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164" fontId="0" fillId="0" borderId="0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166" fontId="0" fillId="0" borderId="0" xfId="1" applyNumberFormat="1" applyFont="1" applyBorder="1" applyAlignment="1">
      <alignment vertical="center" wrapText="1"/>
    </xf>
    <xf numFmtId="0" fontId="0" fillId="0" borderId="0" xfId="0" applyAlignment="1">
      <alignment horizontal="left"/>
    </xf>
    <xf numFmtId="166" fontId="2" fillId="0" borderId="4" xfId="1" applyNumberFormat="1" applyFont="1" applyBorder="1" applyAlignment="1">
      <alignment horizontal="left" vertical="center" wrapText="1"/>
    </xf>
    <xf numFmtId="166" fontId="2" fillId="0" borderId="0" xfId="1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3" xfId="0" applyFont="1" applyBorder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Y77"/>
  <sheetViews>
    <sheetView tabSelected="1" zoomScale="85" zoomScaleNormal="85" workbookViewId="0">
      <selection activeCell="T26" sqref="T26"/>
    </sheetView>
  </sheetViews>
  <sheetFormatPr defaultRowHeight="14.4" x14ac:dyDescent="0.3"/>
  <cols>
    <col min="1" max="1" width="8.6640625" customWidth="1"/>
    <col min="2" max="2" width="11.33203125" style="2" bestFit="1" customWidth="1"/>
    <col min="3" max="3" width="4.6640625" style="1" bestFit="1" customWidth="1"/>
    <col min="4" max="4" width="5.6640625" style="1" bestFit="1" customWidth="1"/>
    <col min="5" max="5" width="4.6640625" style="1" bestFit="1" customWidth="1"/>
    <col min="6" max="6" width="4.88671875" style="1" bestFit="1" customWidth="1"/>
    <col min="7" max="9" width="5.6640625" style="1" bestFit="1" customWidth="1"/>
    <col min="10" max="10" width="6.44140625" style="1" bestFit="1" customWidth="1"/>
    <col min="11" max="12" width="4.6640625" style="1" bestFit="1" customWidth="1"/>
    <col min="13" max="13" width="6.44140625" style="1" bestFit="1" customWidth="1"/>
    <col min="14" max="14" width="5.6640625" style="1" bestFit="1" customWidth="1"/>
    <col min="15" max="16" width="4.6640625" style="1" bestFit="1" customWidth="1"/>
    <col min="17" max="18" width="7" style="1" customWidth="1"/>
    <col min="19" max="19" width="10.5546875" style="1" bestFit="1" customWidth="1"/>
    <col min="20" max="20" width="5" style="1" bestFit="1" customWidth="1"/>
    <col min="21" max="24" width="6" style="1" bestFit="1" customWidth="1"/>
    <col min="25" max="25" width="7" style="1" bestFit="1" customWidth="1"/>
    <col min="26" max="26" width="6" style="1" bestFit="1" customWidth="1"/>
    <col min="27" max="27" width="6.33203125" style="1" bestFit="1" customWidth="1"/>
    <col min="28" max="28" width="6" style="1" bestFit="1" customWidth="1"/>
    <col min="29" max="29" width="5" style="1" bestFit="1" customWidth="1"/>
    <col min="30" max="30" width="6.33203125" style="1" bestFit="1" customWidth="1"/>
    <col min="31" max="32" width="6" style="1" bestFit="1" customWidth="1"/>
    <col min="33" max="33" width="5" bestFit="1" customWidth="1"/>
    <col min="34" max="34" width="6.33203125" bestFit="1" customWidth="1"/>
    <col min="36" max="36" width="4.109375" style="3" bestFit="1" customWidth="1"/>
    <col min="37" max="37" width="3.88671875" style="3" bestFit="1" customWidth="1"/>
    <col min="38" max="38" width="4" style="3" bestFit="1" customWidth="1"/>
    <col min="39" max="39" width="4.33203125" style="3" bestFit="1" customWidth="1"/>
    <col min="40" max="42" width="4.44140625" style="3" bestFit="1" customWidth="1"/>
    <col min="43" max="43" width="5.88671875" style="3" bestFit="1" customWidth="1"/>
    <col min="44" max="44" width="4.33203125" style="3" bestFit="1" customWidth="1"/>
    <col min="45" max="45" width="3.6640625" style="3" bestFit="1" customWidth="1"/>
    <col min="46" max="46" width="5.88671875" style="3" bestFit="1" customWidth="1"/>
    <col min="47" max="47" width="4.44140625" style="3" bestFit="1" customWidth="1"/>
    <col min="48" max="49" width="4.109375" style="3" bestFit="1" customWidth="1"/>
  </cols>
  <sheetData>
    <row r="2" spans="2:51" x14ac:dyDescent="0.3">
      <c r="B2" s="23" t="s">
        <v>51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4" spans="2:51" x14ac:dyDescent="0.3">
      <c r="B4" s="8"/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17</v>
      </c>
      <c r="N4" s="4" t="s">
        <v>15</v>
      </c>
      <c r="O4" s="4" t="s">
        <v>16</v>
      </c>
      <c r="P4" s="4" t="s">
        <v>18</v>
      </c>
      <c r="S4" s="8" t="s">
        <v>35</v>
      </c>
      <c r="T4" s="4" t="s">
        <v>5</v>
      </c>
      <c r="U4" s="4" t="s">
        <v>6</v>
      </c>
      <c r="V4" s="4" t="s">
        <v>7</v>
      </c>
      <c r="W4" s="4" t="s">
        <v>8</v>
      </c>
      <c r="X4" s="4" t="s">
        <v>9</v>
      </c>
      <c r="Y4" s="4" t="s">
        <v>10</v>
      </c>
      <c r="Z4" s="4" t="s">
        <v>11</v>
      </c>
      <c r="AA4" s="4" t="s">
        <v>12</v>
      </c>
      <c r="AB4" s="4" t="s">
        <v>13</v>
      </c>
      <c r="AC4" s="4" t="s">
        <v>14</v>
      </c>
      <c r="AD4" s="4" t="s">
        <v>17</v>
      </c>
      <c r="AE4" s="4" t="s">
        <v>15</v>
      </c>
      <c r="AF4" s="4" t="s">
        <v>16</v>
      </c>
      <c r="AG4" s="4" t="s">
        <v>18</v>
      </c>
      <c r="AH4" s="1"/>
    </row>
    <row r="5" spans="2:51" x14ac:dyDescent="0.3">
      <c r="B5" s="27" t="s">
        <v>36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2"/>
      <c r="R5" s="12"/>
    </row>
    <row r="6" spans="2:51" x14ac:dyDescent="0.3">
      <c r="B6" s="8" t="s">
        <v>24</v>
      </c>
      <c r="C6" s="10">
        <f>T6</f>
        <v>16.3</v>
      </c>
      <c r="D6" s="10">
        <f t="shared" ref="D6:P6" si="0">U6</f>
        <v>701.3</v>
      </c>
      <c r="E6" s="10">
        <f t="shared" si="0"/>
        <v>94.3</v>
      </c>
      <c r="F6" s="10">
        <f t="shared" si="0"/>
        <v>71.7</v>
      </c>
      <c r="G6" s="10">
        <f t="shared" si="0"/>
        <v>122.6</v>
      </c>
      <c r="H6" s="10">
        <f t="shared" si="0"/>
        <v>317.39999999999998</v>
      </c>
      <c r="I6" s="10">
        <f t="shared" si="0"/>
        <v>127.2</v>
      </c>
      <c r="J6" s="10">
        <f t="shared" si="0"/>
        <v>107.1</v>
      </c>
      <c r="K6" s="10">
        <f t="shared" si="0"/>
        <v>87.1</v>
      </c>
      <c r="L6" s="10">
        <f t="shared" si="0"/>
        <v>30.6</v>
      </c>
      <c r="M6" s="10">
        <f t="shared" si="0"/>
        <v>74.599999999999994</v>
      </c>
      <c r="N6" s="10">
        <f t="shared" si="0"/>
        <v>154.19999999999999</v>
      </c>
      <c r="O6" s="10">
        <f t="shared" si="0"/>
        <v>61</v>
      </c>
      <c r="P6" s="10">
        <f t="shared" si="0"/>
        <v>77.099999999999994</v>
      </c>
      <c r="Q6" s="5"/>
      <c r="R6" s="5"/>
      <c r="S6" s="2" t="s">
        <v>1</v>
      </c>
      <c r="T6" s="1">
        <v>16.3</v>
      </c>
      <c r="U6" s="1">
        <v>701.3</v>
      </c>
      <c r="V6" s="1">
        <v>94.3</v>
      </c>
      <c r="W6" s="1">
        <v>71.7</v>
      </c>
      <c r="X6" s="1">
        <v>122.6</v>
      </c>
      <c r="Y6" s="1">
        <v>317.39999999999998</v>
      </c>
      <c r="Z6" s="1">
        <v>127.2</v>
      </c>
      <c r="AA6" s="1">
        <v>107.1</v>
      </c>
      <c r="AB6" s="1">
        <v>87.1</v>
      </c>
      <c r="AC6" s="1">
        <v>30.6</v>
      </c>
      <c r="AD6" s="1">
        <v>74.599999999999994</v>
      </c>
      <c r="AE6" s="1">
        <v>154.19999999999999</v>
      </c>
      <c r="AF6" s="1">
        <v>61</v>
      </c>
      <c r="AG6">
        <v>77.099999999999994</v>
      </c>
    </row>
    <row r="7" spans="2:51" x14ac:dyDescent="0.3">
      <c r="B7" s="2" t="s">
        <v>19</v>
      </c>
      <c r="C7" s="16">
        <f t="shared" ref="C7:C17" si="1">T7/C$6</f>
        <v>1.3374233128834356</v>
      </c>
      <c r="D7" s="16">
        <f t="shared" ref="D7:D17" si="2">U7/D$6</f>
        <v>0.84329103094253532</v>
      </c>
      <c r="E7" s="16">
        <f t="shared" ref="E7:E17" si="3">V7/E$6</f>
        <v>0.97560975609756095</v>
      </c>
      <c r="F7" s="16">
        <f t="shared" ref="F7:F17" si="4">W7/F$6</f>
        <v>0.99721059972105996</v>
      </c>
      <c r="G7" s="16">
        <f t="shared" ref="G7:G17" si="5">X7/G$6</f>
        <v>1.0367047308319739</v>
      </c>
      <c r="H7" s="16">
        <f t="shared" ref="H7:H17" si="6">Y7/H$6</f>
        <v>0.98393194706994336</v>
      </c>
      <c r="I7" s="16">
        <f t="shared" ref="I7:I17" si="7">Z7/I$6</f>
        <v>1.1540880503144655</v>
      </c>
      <c r="J7" s="16">
        <f t="shared" ref="J7:J17" si="8">AA7/J$6</f>
        <v>1.1073762838468721</v>
      </c>
      <c r="K7" s="16">
        <f t="shared" ref="K7:K17" si="9">AB7/K$6</f>
        <v>1</v>
      </c>
      <c r="L7" s="16">
        <f t="shared" ref="L7:L17" si="10">AC7/L$6</f>
        <v>2.5392156862745097</v>
      </c>
      <c r="M7" s="16">
        <f t="shared" ref="M7:M17" si="11">AD7/M$6</f>
        <v>1.1769436997319036</v>
      </c>
      <c r="N7" s="16">
        <f t="shared" ref="N7:N17" si="12">AE7/N$6</f>
        <v>1.1621271076523996</v>
      </c>
      <c r="O7" s="16">
        <f t="shared" ref="O7:O17" si="13">AF7/O$6</f>
        <v>1.1360655737704917</v>
      </c>
      <c r="P7" s="16">
        <f t="shared" ref="P7:P17" si="14">AG7/P$6</f>
        <v>1.0207522697795073</v>
      </c>
      <c r="Q7" s="7"/>
      <c r="R7" s="7"/>
      <c r="S7" s="2" t="s">
        <v>19</v>
      </c>
      <c r="T7" s="1">
        <v>21.8</v>
      </c>
      <c r="U7" s="1">
        <v>591.4</v>
      </c>
      <c r="V7" s="1">
        <v>92</v>
      </c>
      <c r="W7" s="1">
        <v>71.5</v>
      </c>
      <c r="X7" s="1">
        <v>127.1</v>
      </c>
      <c r="Y7" s="1">
        <v>312.3</v>
      </c>
      <c r="Z7" s="1">
        <v>146.80000000000001</v>
      </c>
      <c r="AA7" s="1">
        <v>118.6</v>
      </c>
      <c r="AB7" s="1">
        <v>87.1</v>
      </c>
      <c r="AC7" s="1">
        <v>77.7</v>
      </c>
      <c r="AD7" s="1">
        <v>87.8</v>
      </c>
      <c r="AE7" s="1">
        <v>179.2</v>
      </c>
      <c r="AF7" s="1">
        <v>69.3</v>
      </c>
      <c r="AG7">
        <v>78.7</v>
      </c>
      <c r="AH7" s="1"/>
      <c r="AY7" s="3"/>
    </row>
    <row r="8" spans="2:51" x14ac:dyDescent="0.3">
      <c r="B8" s="2" t="s">
        <v>21</v>
      </c>
      <c r="C8" s="16">
        <f t="shared" si="1"/>
        <v>1.3803680981595092</v>
      </c>
      <c r="D8" s="16">
        <f t="shared" si="2"/>
        <v>0.9265649508056466</v>
      </c>
      <c r="E8" s="16">
        <f t="shared" si="3"/>
        <v>1.0445387062566278</v>
      </c>
      <c r="F8" s="16">
        <f t="shared" si="4"/>
        <v>0.97210599721059976</v>
      </c>
      <c r="G8" s="16">
        <f t="shared" si="5"/>
        <v>1.0489396411092986</v>
      </c>
      <c r="H8" s="16">
        <f t="shared" si="6"/>
        <v>1.0500945179584122</v>
      </c>
      <c r="I8" s="16">
        <f t="shared" si="7"/>
        <v>1.0102201257861636</v>
      </c>
      <c r="J8" s="16">
        <f t="shared" si="8"/>
        <v>0.92156862745098045</v>
      </c>
      <c r="K8" s="16">
        <f t="shared" si="9"/>
        <v>0.98851894374282434</v>
      </c>
      <c r="L8" s="16">
        <f t="shared" si="10"/>
        <v>1.0980392156862746</v>
      </c>
      <c r="M8" s="16">
        <f t="shared" si="11"/>
        <v>0.82305630026809651</v>
      </c>
      <c r="N8" s="16">
        <f t="shared" si="12"/>
        <v>1.1102464332036317</v>
      </c>
      <c r="O8" s="16">
        <f t="shared" si="13"/>
        <v>1.0803278688524591</v>
      </c>
      <c r="P8" s="16">
        <f t="shared" si="14"/>
        <v>1.0129701686121919</v>
      </c>
      <c r="Q8" s="7"/>
      <c r="R8" s="7"/>
      <c r="S8" s="2" t="s">
        <v>21</v>
      </c>
      <c r="T8" s="1">
        <v>22.5</v>
      </c>
      <c r="U8" s="1">
        <v>649.79999999999995</v>
      </c>
      <c r="V8" s="1">
        <v>98.5</v>
      </c>
      <c r="W8" s="1">
        <v>69.7</v>
      </c>
      <c r="X8" s="1">
        <v>128.6</v>
      </c>
      <c r="Y8" s="1">
        <v>333.3</v>
      </c>
      <c r="Z8" s="1">
        <v>128.5</v>
      </c>
      <c r="AA8" s="1">
        <v>98.7</v>
      </c>
      <c r="AB8" s="1">
        <v>86.1</v>
      </c>
      <c r="AC8" s="1">
        <v>33.6</v>
      </c>
      <c r="AD8" s="1">
        <v>61.4</v>
      </c>
      <c r="AE8" s="1">
        <v>171.2</v>
      </c>
      <c r="AF8" s="1">
        <v>65.900000000000006</v>
      </c>
      <c r="AG8">
        <v>78.099999999999994</v>
      </c>
      <c r="AH8" s="1"/>
      <c r="AY8" s="3"/>
    </row>
    <row r="9" spans="2:51" x14ac:dyDescent="0.3">
      <c r="B9" s="2" t="s">
        <v>0</v>
      </c>
      <c r="C9" s="16">
        <f t="shared" si="1"/>
        <v>1.2269938650306749</v>
      </c>
      <c r="D9" s="16">
        <f t="shared" si="2"/>
        <v>1.1833737344930844</v>
      </c>
      <c r="E9" s="16">
        <f t="shared" si="3"/>
        <v>1.0943796394485685</v>
      </c>
      <c r="F9" s="16">
        <f t="shared" si="4"/>
        <v>1.306834030683403</v>
      </c>
      <c r="G9" s="16">
        <f t="shared" si="5"/>
        <v>1.1721044045676998</v>
      </c>
      <c r="H9" s="16">
        <f t="shared" si="6"/>
        <v>1.3241965973534973</v>
      </c>
      <c r="I9" s="16">
        <f t="shared" si="7"/>
        <v>1.229559748427673</v>
      </c>
      <c r="J9" s="16">
        <f t="shared" si="8"/>
        <v>1.196078431372549</v>
      </c>
      <c r="K9" s="16">
        <f t="shared" si="9"/>
        <v>1.1894374282433984</v>
      </c>
      <c r="L9" s="16">
        <f t="shared" si="10"/>
        <v>1.0849673202614381</v>
      </c>
      <c r="M9" s="16">
        <f t="shared" si="11"/>
        <v>1.093833780160858</v>
      </c>
      <c r="N9" s="16">
        <f t="shared" si="12"/>
        <v>1.1284046692607004</v>
      </c>
      <c r="O9" s="16">
        <f t="shared" si="13"/>
        <v>1.1704918032786886</v>
      </c>
      <c r="P9" s="16">
        <f t="shared" si="14"/>
        <v>1.2088197146562907</v>
      </c>
      <c r="Q9" s="7"/>
      <c r="R9" s="7"/>
      <c r="S9" s="2" t="s">
        <v>0</v>
      </c>
      <c r="T9" s="1">
        <v>20</v>
      </c>
      <c r="U9" s="1">
        <v>829.9</v>
      </c>
      <c r="V9" s="1">
        <v>103.2</v>
      </c>
      <c r="W9" s="1">
        <v>93.7</v>
      </c>
      <c r="X9" s="1">
        <v>143.69999999999999</v>
      </c>
      <c r="Y9" s="1">
        <v>420.3</v>
      </c>
      <c r="Z9" s="1">
        <v>156.4</v>
      </c>
      <c r="AA9" s="1">
        <v>128.1</v>
      </c>
      <c r="AB9" s="1">
        <v>103.6</v>
      </c>
      <c r="AC9" s="1">
        <v>33.200000000000003</v>
      </c>
      <c r="AD9" s="1">
        <v>81.599999999999994</v>
      </c>
      <c r="AE9" s="1">
        <v>174</v>
      </c>
      <c r="AF9" s="1">
        <v>71.400000000000006</v>
      </c>
      <c r="AG9">
        <v>93.2</v>
      </c>
      <c r="AH9" s="1"/>
      <c r="AY9" s="3"/>
    </row>
    <row r="10" spans="2:51" x14ac:dyDescent="0.3">
      <c r="B10" s="2" t="s">
        <v>2</v>
      </c>
      <c r="C10" s="16">
        <f t="shared" si="1"/>
        <v>1.4601226993865031</v>
      </c>
      <c r="D10" s="16">
        <f t="shared" si="2"/>
        <v>0.83830029944388995</v>
      </c>
      <c r="E10" s="16">
        <f t="shared" si="3"/>
        <v>0.95546129374337219</v>
      </c>
      <c r="F10" s="16">
        <f t="shared" si="4"/>
        <v>1.4184100418410042</v>
      </c>
      <c r="G10" s="16">
        <f t="shared" si="5"/>
        <v>0.87928221859706368</v>
      </c>
      <c r="H10" s="16">
        <f t="shared" si="6"/>
        <v>0.9697542533081287</v>
      </c>
      <c r="I10" s="16">
        <f t="shared" si="7"/>
        <v>1.0062893081761006</v>
      </c>
      <c r="J10" s="16">
        <f t="shared" si="8"/>
        <v>0.95238095238095244</v>
      </c>
      <c r="K10" s="16">
        <f t="shared" si="9"/>
        <v>0.94603903559127456</v>
      </c>
      <c r="L10" s="16">
        <f t="shared" si="10"/>
        <v>1.0915032679738561</v>
      </c>
      <c r="M10" s="16">
        <f t="shared" si="11"/>
        <v>0.76943699731903492</v>
      </c>
      <c r="N10" s="16">
        <f t="shared" si="12"/>
        <v>0.93385214007782114</v>
      </c>
      <c r="O10" s="16">
        <f t="shared" si="13"/>
        <v>1.6491803278688524</v>
      </c>
      <c r="P10" s="16">
        <f t="shared" si="14"/>
        <v>1.03242542153048</v>
      </c>
      <c r="Q10" s="7"/>
      <c r="R10" s="7"/>
      <c r="S10" s="2" t="s">
        <v>2</v>
      </c>
      <c r="T10" s="1">
        <v>23.8</v>
      </c>
      <c r="U10" s="1">
        <v>587.9</v>
      </c>
      <c r="V10" s="1">
        <v>90.1</v>
      </c>
      <c r="W10" s="1">
        <v>101.7</v>
      </c>
      <c r="X10" s="1">
        <v>107.8</v>
      </c>
      <c r="Y10" s="1">
        <v>307.8</v>
      </c>
      <c r="Z10" s="1">
        <v>128</v>
      </c>
      <c r="AA10" s="1">
        <v>102</v>
      </c>
      <c r="AB10" s="1">
        <v>82.4</v>
      </c>
      <c r="AC10" s="1">
        <v>33.4</v>
      </c>
      <c r="AD10" s="1">
        <v>57.4</v>
      </c>
      <c r="AE10" s="1">
        <v>144</v>
      </c>
      <c r="AF10" s="1">
        <v>100.6</v>
      </c>
      <c r="AG10">
        <v>79.599999999999994</v>
      </c>
      <c r="AH10" s="1"/>
      <c r="AY10" s="3"/>
    </row>
    <row r="11" spans="2:51" x14ac:dyDescent="0.3">
      <c r="B11" s="2" t="s">
        <v>3</v>
      </c>
      <c r="C11" s="16">
        <f t="shared" si="1"/>
        <v>0.89570552147239257</v>
      </c>
      <c r="D11" s="16">
        <f t="shared" si="2"/>
        <v>0.79038927705689432</v>
      </c>
      <c r="E11" s="16">
        <f t="shared" si="3"/>
        <v>1.0509013785790031</v>
      </c>
      <c r="F11" s="16">
        <f t="shared" si="4"/>
        <v>0.90934449093444913</v>
      </c>
      <c r="G11" s="16">
        <f t="shared" si="5"/>
        <v>0.80016313213703094</v>
      </c>
      <c r="H11" s="16">
        <f t="shared" si="6"/>
        <v>0.86862003780718344</v>
      </c>
      <c r="I11" s="16">
        <f t="shared" si="7"/>
        <v>1.0102201257861636</v>
      </c>
      <c r="J11" s="16">
        <f t="shared" si="8"/>
        <v>1.1213818860877685</v>
      </c>
      <c r="K11" s="16">
        <f t="shared" si="9"/>
        <v>0.97474167623421371</v>
      </c>
      <c r="L11" s="16">
        <f t="shared" si="10"/>
        <v>1.130718954248366</v>
      </c>
      <c r="M11" s="16">
        <f t="shared" si="11"/>
        <v>1.2506702412868633</v>
      </c>
      <c r="N11" s="16">
        <f t="shared" si="12"/>
        <v>0.96044098573281456</v>
      </c>
      <c r="O11" s="16">
        <f t="shared" si="13"/>
        <v>0.9819672131147541</v>
      </c>
      <c r="P11" s="16">
        <f t="shared" si="14"/>
        <v>0.8599221789883269</v>
      </c>
      <c r="Q11" s="7"/>
      <c r="R11" s="7"/>
      <c r="S11" s="2" t="s">
        <v>3</v>
      </c>
      <c r="T11" s="1">
        <v>14.6</v>
      </c>
      <c r="U11" s="1">
        <v>554.29999999999995</v>
      </c>
      <c r="V11" s="1">
        <v>99.1</v>
      </c>
      <c r="W11" s="1">
        <v>65.2</v>
      </c>
      <c r="X11" s="1">
        <v>98.1</v>
      </c>
      <c r="Y11" s="1">
        <v>275.7</v>
      </c>
      <c r="Z11" s="1">
        <v>128.5</v>
      </c>
      <c r="AA11" s="1">
        <v>120.1</v>
      </c>
      <c r="AB11" s="1">
        <v>84.9</v>
      </c>
      <c r="AC11" s="1">
        <v>34.6</v>
      </c>
      <c r="AD11" s="1">
        <v>93.3</v>
      </c>
      <c r="AE11" s="1">
        <v>148.1</v>
      </c>
      <c r="AF11" s="1">
        <v>59.9</v>
      </c>
      <c r="AG11">
        <v>66.3</v>
      </c>
      <c r="AH11" s="1"/>
      <c r="AY11" s="3"/>
    </row>
    <row r="12" spans="2:51" x14ac:dyDescent="0.3">
      <c r="B12" s="2" t="s">
        <v>4</v>
      </c>
      <c r="C12" s="16">
        <f t="shared" si="1"/>
        <v>0.90797546012269936</v>
      </c>
      <c r="D12" s="16">
        <f t="shared" si="2"/>
        <v>0.84329103094253532</v>
      </c>
      <c r="E12" s="16">
        <f t="shared" si="3"/>
        <v>1.0402969247083775</v>
      </c>
      <c r="F12" s="16">
        <f t="shared" si="4"/>
        <v>1.0334728033472802</v>
      </c>
      <c r="G12" s="16">
        <f t="shared" si="5"/>
        <v>0.82218597063621535</v>
      </c>
      <c r="H12" s="16">
        <f t="shared" si="6"/>
        <v>5.8698802772526779</v>
      </c>
      <c r="I12" s="16">
        <f t="shared" si="7"/>
        <v>1.0723270440251573</v>
      </c>
      <c r="J12" s="16">
        <f t="shared" si="8"/>
        <v>0.95424836601307195</v>
      </c>
      <c r="K12" s="16">
        <f t="shared" si="9"/>
        <v>1.0757749712973594</v>
      </c>
      <c r="L12" s="16">
        <f t="shared" si="10"/>
        <v>1.1732026143790848</v>
      </c>
      <c r="M12" s="16">
        <f t="shared" si="11"/>
        <v>0.78418230563002689</v>
      </c>
      <c r="N12" s="16">
        <f t="shared" si="12"/>
        <v>1.0201037613488977</v>
      </c>
      <c r="O12" s="16">
        <f t="shared" si="13"/>
        <v>1.0852459016393443</v>
      </c>
      <c r="P12" s="16">
        <f t="shared" si="14"/>
        <v>0.87029831387808043</v>
      </c>
      <c r="Q12" s="7"/>
      <c r="R12" s="7"/>
      <c r="S12" s="2" t="s">
        <v>4</v>
      </c>
      <c r="T12" s="1">
        <v>14.8</v>
      </c>
      <c r="U12" s="1">
        <v>591.4</v>
      </c>
      <c r="V12" s="1">
        <v>98.1</v>
      </c>
      <c r="W12" s="1">
        <v>74.099999999999994</v>
      </c>
      <c r="X12" s="1">
        <v>100.8</v>
      </c>
      <c r="Y12" s="1">
        <v>1863.1</v>
      </c>
      <c r="Z12" s="1">
        <v>136.4</v>
      </c>
      <c r="AA12" s="1">
        <v>102.2</v>
      </c>
      <c r="AB12" s="1">
        <v>93.7</v>
      </c>
      <c r="AC12" s="1">
        <v>35.9</v>
      </c>
      <c r="AD12" s="1">
        <v>58.5</v>
      </c>
      <c r="AE12" s="1">
        <v>157.30000000000001</v>
      </c>
      <c r="AF12" s="1">
        <v>66.2</v>
      </c>
      <c r="AG12">
        <v>67.099999999999994</v>
      </c>
      <c r="AH12" s="1"/>
      <c r="AY12" s="3"/>
    </row>
    <row r="13" spans="2:51" x14ac:dyDescent="0.3">
      <c r="B13" s="2" t="s">
        <v>44</v>
      </c>
      <c r="C13" s="16">
        <f t="shared" si="1"/>
        <v>1.2453987730061349</v>
      </c>
      <c r="D13" s="16">
        <f t="shared" si="2"/>
        <v>0.851703978325966</v>
      </c>
      <c r="E13" s="16">
        <f t="shared" si="3"/>
        <v>1.0593849416755039</v>
      </c>
      <c r="F13" s="16">
        <f t="shared" si="4"/>
        <v>1.0111576011157601</v>
      </c>
      <c r="G13" s="16">
        <f t="shared" si="5"/>
        <v>1.0717781402936379</v>
      </c>
      <c r="H13" s="16">
        <f t="shared" si="6"/>
        <v>1.0063011972274731</v>
      </c>
      <c r="I13" s="16">
        <f t="shared" si="7"/>
        <v>1.0070754716981132</v>
      </c>
      <c r="J13" s="16">
        <f t="shared" si="8"/>
        <v>1.1027077497665734</v>
      </c>
      <c r="K13" s="16">
        <f t="shared" si="9"/>
        <v>1.0884041331802525</v>
      </c>
      <c r="L13" s="16">
        <f t="shared" si="10"/>
        <v>1.1895424836601307</v>
      </c>
      <c r="M13" s="16">
        <f t="shared" si="11"/>
        <v>1.044235924932976</v>
      </c>
      <c r="N13" s="16">
        <f t="shared" si="12"/>
        <v>1.0927367055771726</v>
      </c>
      <c r="O13" s="16">
        <f t="shared" si="13"/>
        <v>1.1672131147540985</v>
      </c>
      <c r="P13" s="16">
        <f t="shared" si="14"/>
        <v>1.0972762645914398</v>
      </c>
      <c r="Q13" s="7"/>
      <c r="R13" s="7"/>
      <c r="S13" s="2" t="s">
        <v>44</v>
      </c>
      <c r="T13" s="1">
        <v>20.3</v>
      </c>
      <c r="U13" s="1">
        <v>597.29999999999995</v>
      </c>
      <c r="V13" s="1">
        <v>99.9</v>
      </c>
      <c r="W13" s="1">
        <v>72.5</v>
      </c>
      <c r="X13" s="1">
        <v>131.4</v>
      </c>
      <c r="Y13" s="1">
        <v>319.39999999999998</v>
      </c>
      <c r="Z13" s="1">
        <v>128.1</v>
      </c>
      <c r="AA13" s="1">
        <v>118.1</v>
      </c>
      <c r="AB13" s="1">
        <v>94.8</v>
      </c>
      <c r="AC13" s="1">
        <v>36.4</v>
      </c>
      <c r="AD13" s="1">
        <v>77.900000000000006</v>
      </c>
      <c r="AE13" s="1">
        <v>168.5</v>
      </c>
      <c r="AF13" s="1">
        <v>71.2</v>
      </c>
      <c r="AG13">
        <v>84.6</v>
      </c>
      <c r="AH13" s="1"/>
      <c r="AY13" s="3"/>
    </row>
    <row r="14" spans="2:51" x14ac:dyDescent="0.3">
      <c r="B14" s="2" t="s">
        <v>43</v>
      </c>
      <c r="C14" s="16">
        <f t="shared" si="1"/>
        <v>0.80981595092024528</v>
      </c>
      <c r="D14" s="16">
        <f t="shared" si="2"/>
        <v>0.78083559104520184</v>
      </c>
      <c r="E14" s="16">
        <f t="shared" si="3"/>
        <v>0.80699893955461288</v>
      </c>
      <c r="F14" s="16">
        <f t="shared" si="4"/>
        <v>0.8340306834030683</v>
      </c>
      <c r="G14" s="16">
        <f t="shared" si="5"/>
        <v>0.84828711256117462</v>
      </c>
      <c r="H14" s="16">
        <f t="shared" si="6"/>
        <v>0.78418399495904234</v>
      </c>
      <c r="I14" s="16">
        <f t="shared" si="7"/>
        <v>0.87971698113207553</v>
      </c>
      <c r="J14" s="16">
        <f t="shared" si="8"/>
        <v>0.80765639589169003</v>
      </c>
      <c r="K14" s="16">
        <f t="shared" si="9"/>
        <v>0.88059701492537323</v>
      </c>
      <c r="L14" s="16">
        <f t="shared" si="10"/>
        <v>0.88888888888888884</v>
      </c>
      <c r="M14" s="16">
        <f t="shared" si="11"/>
        <v>0.70375335120643434</v>
      </c>
      <c r="N14" s="16">
        <f t="shared" si="12"/>
        <v>0.91050583657587558</v>
      </c>
      <c r="O14" s="16">
        <f t="shared" si="13"/>
        <v>0.89836065573770485</v>
      </c>
      <c r="P14" s="16">
        <f t="shared" si="14"/>
        <v>0.83009079118028539</v>
      </c>
      <c r="Q14" s="13"/>
      <c r="R14" s="13"/>
      <c r="S14" s="2" t="s">
        <v>45</v>
      </c>
      <c r="T14" s="1">
        <v>13.2</v>
      </c>
      <c r="U14" s="1">
        <v>547.6</v>
      </c>
      <c r="V14" s="1">
        <v>76.099999999999994</v>
      </c>
      <c r="W14" s="1">
        <v>59.8</v>
      </c>
      <c r="X14" s="1">
        <v>104</v>
      </c>
      <c r="Y14" s="1">
        <v>248.9</v>
      </c>
      <c r="Z14" s="1">
        <v>111.9</v>
      </c>
      <c r="AA14" s="1">
        <v>86.5</v>
      </c>
      <c r="AB14" s="1">
        <v>76.7</v>
      </c>
      <c r="AC14" s="1">
        <v>27.2</v>
      </c>
      <c r="AD14" s="1">
        <v>52.5</v>
      </c>
      <c r="AE14" s="1">
        <v>140.4</v>
      </c>
      <c r="AF14" s="1">
        <v>54.8</v>
      </c>
      <c r="AG14">
        <v>64</v>
      </c>
    </row>
    <row r="15" spans="2:51" x14ac:dyDescent="0.3">
      <c r="B15" s="6" t="s">
        <v>40</v>
      </c>
      <c r="C15" s="16">
        <f t="shared" si="1"/>
        <v>0.92024539877300604</v>
      </c>
      <c r="D15" s="16">
        <f t="shared" si="2"/>
        <v>0.80279480963924144</v>
      </c>
      <c r="E15" s="16">
        <f t="shared" si="3"/>
        <v>0.89077412513255572</v>
      </c>
      <c r="F15" s="16">
        <f t="shared" si="4"/>
        <v>1.0376569037656904</v>
      </c>
      <c r="G15" s="16">
        <f t="shared" si="5"/>
        <v>0.94127243066884181</v>
      </c>
      <c r="H15" s="16">
        <f t="shared" si="6"/>
        <v>1.1887208569628231</v>
      </c>
      <c r="I15" s="16">
        <f t="shared" si="7"/>
        <v>0.95283018867924529</v>
      </c>
      <c r="J15" s="16">
        <f t="shared" si="8"/>
        <v>0.86647992530345475</v>
      </c>
      <c r="K15" s="16">
        <f t="shared" si="9"/>
        <v>0.95866819747416765</v>
      </c>
      <c r="L15" s="16">
        <f t="shared" si="10"/>
        <v>0.99346405228758161</v>
      </c>
      <c r="M15" s="16">
        <f t="shared" si="11"/>
        <v>0.83243967828418242</v>
      </c>
      <c r="N15" s="16">
        <f t="shared" si="12"/>
        <v>0.93579766536964992</v>
      </c>
      <c r="O15" s="16">
        <f t="shared" si="13"/>
        <v>0.99344262295081964</v>
      </c>
      <c r="P15" s="16">
        <f t="shared" si="14"/>
        <v>0.95849546044098588</v>
      </c>
      <c r="Q15" s="7"/>
      <c r="R15" s="7"/>
      <c r="S15" s="2" t="s">
        <v>40</v>
      </c>
      <c r="T15" s="1">
        <v>15</v>
      </c>
      <c r="U15" s="1">
        <v>563</v>
      </c>
      <c r="V15" s="1">
        <v>84</v>
      </c>
      <c r="W15" s="1">
        <v>74.400000000000006</v>
      </c>
      <c r="X15" s="1">
        <v>115.4</v>
      </c>
      <c r="Y15" s="1">
        <v>377.3</v>
      </c>
      <c r="Z15" s="1">
        <v>121.2</v>
      </c>
      <c r="AA15" s="1">
        <v>92.8</v>
      </c>
      <c r="AB15" s="1">
        <v>83.5</v>
      </c>
      <c r="AC15" s="1">
        <v>30.4</v>
      </c>
      <c r="AD15" s="1">
        <v>62.1</v>
      </c>
      <c r="AE15" s="1">
        <v>144.30000000000001</v>
      </c>
      <c r="AF15" s="1">
        <v>60.6</v>
      </c>
      <c r="AG15">
        <v>73.900000000000006</v>
      </c>
    </row>
    <row r="16" spans="2:51" x14ac:dyDescent="0.3">
      <c r="B16" s="6" t="s">
        <v>20</v>
      </c>
      <c r="C16" s="16">
        <f t="shared" si="1"/>
        <v>1.1042944785276072</v>
      </c>
      <c r="D16" s="16">
        <f t="shared" si="2"/>
        <v>0.83145586767431923</v>
      </c>
      <c r="E16" s="16">
        <f t="shared" si="3"/>
        <v>0.99151643690349955</v>
      </c>
      <c r="F16" s="16">
        <f t="shared" si="4"/>
        <v>0.95955369595536955</v>
      </c>
      <c r="G16" s="16">
        <f t="shared" si="5"/>
        <v>0.99265905383360531</v>
      </c>
      <c r="H16" s="16">
        <f t="shared" si="6"/>
        <v>0.98393194706994336</v>
      </c>
      <c r="I16" s="16">
        <f t="shared" si="7"/>
        <v>0.98113207547169812</v>
      </c>
      <c r="J16" s="16">
        <f t="shared" si="8"/>
        <v>1.0186741363211951</v>
      </c>
      <c r="K16" s="16">
        <f t="shared" si="9"/>
        <v>1.0149253731343284</v>
      </c>
      <c r="L16" s="16">
        <f t="shared" si="10"/>
        <v>1.150326797385621</v>
      </c>
      <c r="M16" s="16">
        <f t="shared" si="11"/>
        <v>0.96112600536193038</v>
      </c>
      <c r="N16" s="16">
        <f t="shared" si="12"/>
        <v>1.056420233463035</v>
      </c>
      <c r="O16" s="16">
        <f t="shared" si="13"/>
        <v>1.0754098360655737</v>
      </c>
      <c r="P16" s="16">
        <f t="shared" si="14"/>
        <v>1.0298313878080416</v>
      </c>
      <c r="Q16" s="7"/>
      <c r="R16" s="7"/>
      <c r="S16" s="2" t="s">
        <v>20</v>
      </c>
      <c r="T16" s="1">
        <v>18</v>
      </c>
      <c r="U16" s="1">
        <v>583.1</v>
      </c>
      <c r="V16" s="1">
        <v>93.5</v>
      </c>
      <c r="W16" s="1">
        <v>68.8</v>
      </c>
      <c r="X16" s="1">
        <v>121.7</v>
      </c>
      <c r="Y16" s="1">
        <v>312.3</v>
      </c>
      <c r="Z16" s="1">
        <v>124.8</v>
      </c>
      <c r="AA16" s="1">
        <v>109.1</v>
      </c>
      <c r="AB16" s="1">
        <v>88.4</v>
      </c>
      <c r="AC16" s="1">
        <v>35.200000000000003</v>
      </c>
      <c r="AD16" s="1">
        <v>71.7</v>
      </c>
      <c r="AE16" s="1">
        <v>162.9</v>
      </c>
      <c r="AF16" s="1">
        <v>65.599999999999994</v>
      </c>
      <c r="AG16">
        <v>79.400000000000006</v>
      </c>
    </row>
    <row r="17" spans="2:49" x14ac:dyDescent="0.3">
      <c r="B17" s="2" t="s">
        <v>38</v>
      </c>
      <c r="C17" s="16">
        <f t="shared" si="1"/>
        <v>0.77300613496932513</v>
      </c>
      <c r="D17" s="16">
        <f t="shared" si="2"/>
        <v>0.77370597461856561</v>
      </c>
      <c r="E17" s="16">
        <f t="shared" si="3"/>
        <v>0.79427359490986227</v>
      </c>
      <c r="F17" s="16">
        <f t="shared" si="4"/>
        <v>0.82147838214783819</v>
      </c>
      <c r="G17" s="16">
        <f t="shared" si="5"/>
        <v>0.80831973898858078</v>
      </c>
      <c r="H17" s="16">
        <f t="shared" si="6"/>
        <v>0.76685570258349089</v>
      </c>
      <c r="I17" s="16">
        <f t="shared" si="7"/>
        <v>0.88993710691823902</v>
      </c>
      <c r="J17" s="16">
        <f t="shared" si="8"/>
        <v>0.75163398692810457</v>
      </c>
      <c r="K17" s="16">
        <f t="shared" si="9"/>
        <v>0.86337543053960975</v>
      </c>
      <c r="L17" s="16">
        <f t="shared" si="10"/>
        <v>0.88888888888888884</v>
      </c>
      <c r="M17" s="16">
        <f t="shared" si="11"/>
        <v>0.69571045576407509</v>
      </c>
      <c r="N17" s="16">
        <f t="shared" si="12"/>
        <v>0.83333333333333337</v>
      </c>
      <c r="O17" s="16">
        <f t="shared" si="13"/>
        <v>0.87704918032786883</v>
      </c>
      <c r="P17" s="16">
        <f t="shared" si="14"/>
        <v>0.80674448767833995</v>
      </c>
      <c r="Q17" s="7"/>
      <c r="R17" s="7"/>
      <c r="S17" s="2" t="s">
        <v>46</v>
      </c>
      <c r="T17" s="1">
        <v>12.6</v>
      </c>
      <c r="U17" s="1">
        <v>542.6</v>
      </c>
      <c r="V17" s="1">
        <v>74.900000000000006</v>
      </c>
      <c r="W17" s="1">
        <v>58.9</v>
      </c>
      <c r="X17" s="1">
        <v>99.1</v>
      </c>
      <c r="Y17" s="1">
        <v>243.4</v>
      </c>
      <c r="Z17" s="1">
        <v>113.2</v>
      </c>
      <c r="AA17" s="1">
        <v>80.5</v>
      </c>
      <c r="AB17" s="1">
        <v>75.2</v>
      </c>
      <c r="AC17" s="1">
        <v>27.2</v>
      </c>
      <c r="AD17" s="1">
        <v>51.9</v>
      </c>
      <c r="AE17" s="1">
        <v>128.5</v>
      </c>
      <c r="AF17" s="1">
        <v>53.5</v>
      </c>
      <c r="AG17">
        <v>62.2</v>
      </c>
    </row>
    <row r="18" spans="2:49" x14ac:dyDescent="0.3">
      <c r="B18" s="27" t="s">
        <v>42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12"/>
      <c r="R18" s="12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2:49" x14ac:dyDescent="0.3">
      <c r="B19" s="6" t="s">
        <v>41</v>
      </c>
      <c r="C19" s="17">
        <f t="shared" ref="C19:P20" si="15">T19/C$6</f>
        <v>0.93251533742331283</v>
      </c>
      <c r="D19" s="17">
        <f t="shared" si="15"/>
        <v>0.80450591758163426</v>
      </c>
      <c r="E19" s="17">
        <f t="shared" si="15"/>
        <v>0.87062566277836684</v>
      </c>
      <c r="F19" s="17">
        <f t="shared" si="15"/>
        <v>1.0529986052998606</v>
      </c>
      <c r="G19" s="17">
        <f t="shared" si="15"/>
        <v>0.93556280587275698</v>
      </c>
      <c r="H19" s="17">
        <f t="shared" si="15"/>
        <v>1.1918714555765597</v>
      </c>
      <c r="I19" s="17">
        <f t="shared" si="15"/>
        <v>0.94103773584905659</v>
      </c>
      <c r="J19" s="17">
        <f t="shared" si="15"/>
        <v>0.86741363211951461</v>
      </c>
      <c r="K19" s="17">
        <f t="shared" si="15"/>
        <v>0.96555683122847302</v>
      </c>
      <c r="L19" s="17">
        <f t="shared" si="15"/>
        <v>0.98039215686274506</v>
      </c>
      <c r="M19" s="17">
        <f t="shared" si="15"/>
        <v>0.83646112600536193</v>
      </c>
      <c r="N19" s="17">
        <f t="shared" si="15"/>
        <v>0.92866407263294426</v>
      </c>
      <c r="O19" s="17">
        <f t="shared" si="15"/>
        <v>0.9819672131147541</v>
      </c>
      <c r="P19" s="17">
        <f t="shared" si="15"/>
        <v>0.96368352788586253</v>
      </c>
      <c r="Q19" s="14"/>
      <c r="R19" s="14"/>
      <c r="S19" s="2" t="s">
        <v>41</v>
      </c>
      <c r="T19" s="1">
        <v>15.2</v>
      </c>
      <c r="U19" s="1">
        <v>564.20000000000005</v>
      </c>
      <c r="V19" s="1">
        <v>82.1</v>
      </c>
      <c r="W19" s="1">
        <v>75.5</v>
      </c>
      <c r="X19" s="1">
        <v>114.7</v>
      </c>
      <c r="Y19" s="1">
        <v>378.3</v>
      </c>
      <c r="Z19" s="1">
        <v>119.7</v>
      </c>
      <c r="AA19" s="1">
        <v>92.9</v>
      </c>
      <c r="AB19" s="1">
        <v>84.1</v>
      </c>
      <c r="AC19" s="1">
        <v>30</v>
      </c>
      <c r="AD19" s="1">
        <v>62.4</v>
      </c>
      <c r="AE19" s="1">
        <v>143.19999999999999</v>
      </c>
      <c r="AF19" s="1">
        <v>59.9</v>
      </c>
      <c r="AG19">
        <v>74.3</v>
      </c>
      <c r="AH19" s="7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2:49" x14ac:dyDescent="0.3">
      <c r="B20" s="6" t="s">
        <v>37</v>
      </c>
      <c r="C20" s="18">
        <f t="shared" si="15"/>
        <v>1.0920245398773005</v>
      </c>
      <c r="D20" s="18">
        <f t="shared" si="15"/>
        <v>1.1460145444175105</v>
      </c>
      <c r="E20" s="18">
        <f t="shared" si="15"/>
        <v>0.93001060445387074</v>
      </c>
      <c r="F20" s="18">
        <f t="shared" si="15"/>
        <v>0.96931659693165961</v>
      </c>
      <c r="G20" s="18">
        <f t="shared" si="15"/>
        <v>0.95758564437194138</v>
      </c>
      <c r="H20" s="18">
        <f t="shared" si="15"/>
        <v>1.3295526149968495</v>
      </c>
      <c r="I20" s="18">
        <f t="shared" si="15"/>
        <v>1.0094339622641511</v>
      </c>
      <c r="J20" s="18">
        <f t="shared" si="15"/>
        <v>1.003734827264239</v>
      </c>
      <c r="K20" s="18">
        <f t="shared" si="15"/>
        <v>0.96555683122847302</v>
      </c>
      <c r="L20" s="18">
        <f t="shared" si="15"/>
        <v>1.0163398692810457</v>
      </c>
      <c r="M20" s="18">
        <f t="shared" si="15"/>
        <v>0.84584450402144784</v>
      </c>
      <c r="N20" s="18">
        <f t="shared" si="15"/>
        <v>0.98184176394293132</v>
      </c>
      <c r="O20" s="18">
        <f t="shared" si="15"/>
        <v>1.0016393442622951</v>
      </c>
      <c r="P20" s="18">
        <f t="shared" si="15"/>
        <v>1.03242542153048</v>
      </c>
      <c r="Q20" s="14"/>
      <c r="R20" s="14"/>
      <c r="S20" s="2" t="s">
        <v>37</v>
      </c>
      <c r="T20" s="1">
        <v>17.8</v>
      </c>
      <c r="U20" s="1">
        <v>803.7</v>
      </c>
      <c r="V20" s="1">
        <v>87.7</v>
      </c>
      <c r="W20" s="1">
        <v>69.5</v>
      </c>
      <c r="X20" s="1">
        <v>117.4</v>
      </c>
      <c r="Y20" s="1">
        <v>422</v>
      </c>
      <c r="Z20" s="1">
        <v>128.4</v>
      </c>
      <c r="AA20" s="1">
        <v>107.5</v>
      </c>
      <c r="AB20" s="1">
        <v>84.1</v>
      </c>
      <c r="AC20" s="1">
        <v>31.1</v>
      </c>
      <c r="AD20" s="1">
        <v>63.1</v>
      </c>
      <c r="AE20" s="1">
        <v>151.4</v>
      </c>
      <c r="AF20" s="1">
        <v>61.1</v>
      </c>
      <c r="AG20">
        <v>79.599999999999994</v>
      </c>
      <c r="AH20" s="7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2:49" x14ac:dyDescent="0.3">
      <c r="B21" s="27" t="s">
        <v>39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12"/>
      <c r="R21" s="12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2:49" x14ac:dyDescent="0.3">
      <c r="B22" s="2" t="s">
        <v>22</v>
      </c>
      <c r="C22" s="17">
        <f t="shared" ref="C22:P23" si="16">T22/C$6</f>
        <v>0.754601226993865</v>
      </c>
      <c r="D22" s="17">
        <f t="shared" si="16"/>
        <v>0.77883929844574373</v>
      </c>
      <c r="E22" s="17">
        <f t="shared" si="16"/>
        <v>0.81018027571580076</v>
      </c>
      <c r="F22" s="17">
        <f t="shared" si="16"/>
        <v>0.84518828451882844</v>
      </c>
      <c r="G22" s="17">
        <f t="shared" si="16"/>
        <v>0.81973898858075045</v>
      </c>
      <c r="H22" s="17">
        <f t="shared" si="16"/>
        <v>0.96313799621928164</v>
      </c>
      <c r="I22" s="17">
        <f t="shared" si="16"/>
        <v>0.89779874213836475</v>
      </c>
      <c r="J22" s="17">
        <f t="shared" si="16"/>
        <v>0.96078431372549034</v>
      </c>
      <c r="K22" s="17">
        <f t="shared" si="16"/>
        <v>0.8748564867967854</v>
      </c>
      <c r="L22" s="17">
        <f t="shared" si="16"/>
        <v>0.90522875816993453</v>
      </c>
      <c r="M22" s="17">
        <f t="shared" si="16"/>
        <v>0.7560321715817695</v>
      </c>
      <c r="N22" s="17">
        <f t="shared" si="16"/>
        <v>0.90466926070038922</v>
      </c>
      <c r="O22" s="17">
        <f t="shared" si="16"/>
        <v>0.92459016393442617</v>
      </c>
      <c r="P22" s="17">
        <f t="shared" si="16"/>
        <v>0.84306095979247742</v>
      </c>
      <c r="Q22" s="13"/>
      <c r="R22" s="13"/>
      <c r="S22" s="2" t="s">
        <v>22</v>
      </c>
      <c r="T22" s="1">
        <v>12.3</v>
      </c>
      <c r="U22" s="1">
        <v>546.20000000000005</v>
      </c>
      <c r="V22" s="1">
        <v>76.400000000000006</v>
      </c>
      <c r="W22" s="1">
        <v>60.6</v>
      </c>
      <c r="X22" s="1">
        <v>100.5</v>
      </c>
      <c r="Y22" s="1">
        <v>305.7</v>
      </c>
      <c r="Z22" s="1">
        <v>114.2</v>
      </c>
      <c r="AA22" s="1">
        <v>102.9</v>
      </c>
      <c r="AB22" s="1">
        <v>76.2</v>
      </c>
      <c r="AC22" s="1">
        <v>27.7</v>
      </c>
      <c r="AD22" s="1">
        <v>56.4</v>
      </c>
      <c r="AE22" s="1">
        <v>139.5</v>
      </c>
      <c r="AF22" s="1">
        <v>56.4</v>
      </c>
      <c r="AG22">
        <v>65</v>
      </c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2:49" x14ac:dyDescent="0.3">
      <c r="B23" s="8" t="s">
        <v>23</v>
      </c>
      <c r="C23" s="18">
        <f t="shared" si="16"/>
        <v>0.74846625766871155</v>
      </c>
      <c r="D23" s="18">
        <f t="shared" si="16"/>
        <v>0.78040781405960358</v>
      </c>
      <c r="E23" s="18">
        <f t="shared" si="16"/>
        <v>0.79745493107104992</v>
      </c>
      <c r="F23" s="18">
        <f t="shared" si="16"/>
        <v>0.8340306834030683</v>
      </c>
      <c r="G23" s="18">
        <f t="shared" si="16"/>
        <v>0.79771615008156604</v>
      </c>
      <c r="H23" s="18">
        <f t="shared" si="16"/>
        <v>0.9161940768746063</v>
      </c>
      <c r="I23" s="18">
        <f t="shared" si="16"/>
        <v>0.89779874213836475</v>
      </c>
      <c r="J23" s="18">
        <f t="shared" si="16"/>
        <v>0.87955182072829141</v>
      </c>
      <c r="K23" s="18">
        <f t="shared" si="16"/>
        <v>0.84385763490241106</v>
      </c>
      <c r="L23" s="18">
        <f t="shared" si="16"/>
        <v>0.89215686274509798</v>
      </c>
      <c r="M23" s="18">
        <f t="shared" si="16"/>
        <v>0.73056300268096519</v>
      </c>
      <c r="N23" s="18">
        <f t="shared" si="16"/>
        <v>0.86900129701686124</v>
      </c>
      <c r="O23" s="18">
        <f t="shared" si="16"/>
        <v>0.92459016393442617</v>
      </c>
      <c r="P23" s="18">
        <f t="shared" si="16"/>
        <v>0.83527885862516227</v>
      </c>
      <c r="Q23" s="15"/>
      <c r="R23" s="15"/>
      <c r="S23" s="2" t="s">
        <v>23</v>
      </c>
      <c r="T23" s="1">
        <v>12.2</v>
      </c>
      <c r="U23" s="1">
        <v>547.29999999999995</v>
      </c>
      <c r="V23" s="1">
        <v>75.2</v>
      </c>
      <c r="W23" s="1">
        <v>59.8</v>
      </c>
      <c r="X23" s="1">
        <v>97.8</v>
      </c>
      <c r="Y23" s="1">
        <v>290.8</v>
      </c>
      <c r="Z23" s="1">
        <v>114.2</v>
      </c>
      <c r="AA23" s="1">
        <v>94.2</v>
      </c>
      <c r="AB23" s="1">
        <v>73.5</v>
      </c>
      <c r="AC23" s="1">
        <v>27.3</v>
      </c>
      <c r="AD23" s="1">
        <v>54.5</v>
      </c>
      <c r="AE23" s="1">
        <v>134</v>
      </c>
      <c r="AF23" s="1">
        <v>56.4</v>
      </c>
      <c r="AG23">
        <v>64.400000000000006</v>
      </c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2:49" x14ac:dyDescent="0.3">
      <c r="B24" s="26" t="s">
        <v>47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S24" s="2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2:49" x14ac:dyDescent="0.3">
      <c r="B25" s="8" t="s">
        <v>24</v>
      </c>
      <c r="C25" s="10">
        <f>T25</f>
        <v>9.6</v>
      </c>
      <c r="D25" s="10">
        <f t="shared" ref="D25:P26" si="17">U25</f>
        <v>10.199999999999999</v>
      </c>
      <c r="E25" s="10">
        <f t="shared" si="17"/>
        <v>9.9</v>
      </c>
      <c r="F25" s="10">
        <f t="shared" si="17"/>
        <v>9.6999999999999993</v>
      </c>
      <c r="G25" s="10">
        <f t="shared" si="17"/>
        <v>9.9</v>
      </c>
      <c r="H25" s="10">
        <f t="shared" si="17"/>
        <v>9.6999999999999993</v>
      </c>
      <c r="I25" s="10">
        <f t="shared" si="17"/>
        <v>9.8000000000000007</v>
      </c>
      <c r="J25" s="10">
        <f t="shared" si="17"/>
        <v>9.9</v>
      </c>
      <c r="K25" s="10">
        <f t="shared" si="17"/>
        <v>9.8000000000000007</v>
      </c>
      <c r="L25" s="10">
        <f t="shared" si="17"/>
        <v>9.9</v>
      </c>
      <c r="M25" s="10">
        <f t="shared" si="17"/>
        <v>9.6</v>
      </c>
      <c r="N25" s="10">
        <f t="shared" si="17"/>
        <v>9.6</v>
      </c>
      <c r="O25" s="10">
        <f t="shared" si="17"/>
        <v>9.8000000000000007</v>
      </c>
      <c r="P25" s="10">
        <f t="shared" si="17"/>
        <v>9.6999999999999993</v>
      </c>
      <c r="S25" s="2" t="s">
        <v>1</v>
      </c>
      <c r="T25" s="1">
        <v>9.6</v>
      </c>
      <c r="U25" s="1">
        <v>10.199999999999999</v>
      </c>
      <c r="V25" s="1">
        <v>9.9</v>
      </c>
      <c r="W25" s="1">
        <v>9.6999999999999993</v>
      </c>
      <c r="X25" s="1">
        <v>9.9</v>
      </c>
      <c r="Y25" s="1">
        <v>9.6999999999999993</v>
      </c>
      <c r="Z25" s="1">
        <v>9.8000000000000007</v>
      </c>
      <c r="AA25" s="1">
        <v>9.9</v>
      </c>
      <c r="AB25" s="1">
        <v>9.8000000000000007</v>
      </c>
      <c r="AC25" s="1">
        <v>9.9</v>
      </c>
      <c r="AD25" s="1">
        <v>9.6</v>
      </c>
      <c r="AE25" s="1">
        <v>9.6</v>
      </c>
      <c r="AF25" s="1">
        <v>9.8000000000000007</v>
      </c>
      <c r="AG25" s="1">
        <v>9.6999999999999993</v>
      </c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2:49" x14ac:dyDescent="0.3">
      <c r="B26" s="2" t="s">
        <v>19</v>
      </c>
      <c r="C26" s="11">
        <f>T26</f>
        <v>14.5</v>
      </c>
      <c r="D26" s="11">
        <f t="shared" si="17"/>
        <v>11</v>
      </c>
      <c r="E26" s="11">
        <f t="shared" si="17"/>
        <v>11.5</v>
      </c>
      <c r="F26" s="11">
        <f t="shared" si="17"/>
        <v>11.4</v>
      </c>
      <c r="G26" s="11">
        <f t="shared" si="17"/>
        <v>11.4</v>
      </c>
      <c r="H26" s="11">
        <f t="shared" si="17"/>
        <v>11.5</v>
      </c>
      <c r="I26" s="11">
        <f t="shared" si="17"/>
        <v>11.2</v>
      </c>
      <c r="J26" s="11">
        <f t="shared" si="17"/>
        <v>12.5</v>
      </c>
      <c r="K26" s="11">
        <f t="shared" si="17"/>
        <v>10.5</v>
      </c>
      <c r="L26" s="11">
        <f t="shared" si="17"/>
        <v>12.8</v>
      </c>
      <c r="M26" s="11">
        <f t="shared" si="17"/>
        <v>12.8</v>
      </c>
      <c r="N26" s="11">
        <f t="shared" si="17"/>
        <v>13.2</v>
      </c>
      <c r="O26" s="11">
        <f t="shared" si="17"/>
        <v>11.4</v>
      </c>
      <c r="P26" s="11">
        <f t="shared" si="17"/>
        <v>12.5</v>
      </c>
      <c r="S26" s="2" t="s">
        <v>25</v>
      </c>
      <c r="T26" s="1">
        <v>14.5</v>
      </c>
      <c r="U26" s="1">
        <v>11</v>
      </c>
      <c r="V26" s="1">
        <v>11.5</v>
      </c>
      <c r="W26" s="1">
        <v>11.4</v>
      </c>
      <c r="X26" s="1">
        <v>11.4</v>
      </c>
      <c r="Y26" s="1">
        <v>11.5</v>
      </c>
      <c r="Z26" s="1">
        <v>11.2</v>
      </c>
      <c r="AA26" s="1">
        <v>12.5</v>
      </c>
      <c r="AB26" s="1">
        <v>10.5</v>
      </c>
      <c r="AC26" s="1">
        <v>12.8</v>
      </c>
      <c r="AD26" s="1">
        <v>12.8</v>
      </c>
      <c r="AE26" s="1">
        <v>13.2</v>
      </c>
      <c r="AF26" s="1">
        <v>11.4</v>
      </c>
      <c r="AG26" s="1">
        <v>12.5</v>
      </c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2:49" x14ac:dyDescent="0.3">
      <c r="B27" s="2" t="s">
        <v>21</v>
      </c>
      <c r="C27" s="11">
        <f t="shared" ref="C27:C35" si="18">T27</f>
        <v>9.8000000000000007</v>
      </c>
      <c r="D27" s="11">
        <f t="shared" ref="D27:D36" si="19">U27</f>
        <v>9.1</v>
      </c>
      <c r="E27" s="11">
        <f t="shared" ref="E27:E36" si="20">V27</f>
        <v>9.6999999999999993</v>
      </c>
      <c r="F27" s="11">
        <f t="shared" ref="F27:F36" si="21">W27</f>
        <v>9.8000000000000007</v>
      </c>
      <c r="G27" s="11">
        <f t="shared" ref="G27:G36" si="22">X27</f>
        <v>9.6999999999999993</v>
      </c>
      <c r="H27" s="11">
        <f t="shared" ref="H27:H36" si="23">Y27</f>
        <v>9.9</v>
      </c>
      <c r="I27" s="11">
        <f t="shared" ref="I27:I36" si="24">Z27</f>
        <v>9.3000000000000007</v>
      </c>
      <c r="J27" s="11">
        <f t="shared" ref="J27:J36" si="25">AA27</f>
        <v>10</v>
      </c>
      <c r="K27" s="11">
        <f t="shared" ref="K27:K36" si="26">AB27</f>
        <v>10.3</v>
      </c>
      <c r="L27" s="11">
        <f t="shared" ref="L27:L36" si="27">AC27</f>
        <v>9.5</v>
      </c>
      <c r="M27" s="11">
        <f t="shared" ref="M27:M36" si="28">AD27</f>
        <v>10.199999999999999</v>
      </c>
      <c r="N27" s="11">
        <f t="shared" ref="N27:N36" si="29">AE27</f>
        <v>9.3000000000000007</v>
      </c>
      <c r="O27" s="11">
        <f t="shared" ref="O27:O36" si="30">AF27</f>
        <v>10</v>
      </c>
      <c r="P27" s="11">
        <f t="shared" ref="P27:P36" si="31">AG27</f>
        <v>9.9</v>
      </c>
      <c r="Q27" s="5"/>
      <c r="R27" s="5"/>
      <c r="S27" s="2" t="s">
        <v>26</v>
      </c>
      <c r="T27" s="1">
        <v>9.8000000000000007</v>
      </c>
      <c r="U27" s="1">
        <v>9.1</v>
      </c>
      <c r="V27" s="1">
        <v>9.6999999999999993</v>
      </c>
      <c r="W27" s="1">
        <v>9.8000000000000007</v>
      </c>
      <c r="X27" s="1">
        <v>9.6999999999999993</v>
      </c>
      <c r="Y27" s="1">
        <v>9.9</v>
      </c>
      <c r="Z27" s="1">
        <v>9.3000000000000007</v>
      </c>
      <c r="AA27" s="1">
        <v>10</v>
      </c>
      <c r="AB27" s="1">
        <v>10.3</v>
      </c>
      <c r="AC27" s="1">
        <v>9.5</v>
      </c>
      <c r="AD27" s="1">
        <v>10.199999999999999</v>
      </c>
      <c r="AE27" s="1">
        <v>9.3000000000000007</v>
      </c>
      <c r="AF27" s="1">
        <v>10</v>
      </c>
      <c r="AG27" s="1">
        <v>9.9</v>
      </c>
      <c r="AH27" s="1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2:49" ht="14.4" customHeight="1" x14ac:dyDescent="0.3">
      <c r="B28" s="2" t="s">
        <v>0</v>
      </c>
      <c r="C28" s="11">
        <f t="shared" si="18"/>
        <v>11.4</v>
      </c>
      <c r="D28" s="11">
        <f t="shared" si="19"/>
        <v>12.1</v>
      </c>
      <c r="E28" s="11">
        <f t="shared" si="20"/>
        <v>11.4</v>
      </c>
      <c r="F28" s="11">
        <f t="shared" si="21"/>
        <v>11.5</v>
      </c>
      <c r="G28" s="11">
        <f t="shared" si="22"/>
        <v>11.4</v>
      </c>
      <c r="H28" s="11">
        <f t="shared" si="23"/>
        <v>11.7</v>
      </c>
      <c r="I28" s="11">
        <f t="shared" si="24"/>
        <v>12.3</v>
      </c>
      <c r="J28" s="11">
        <f t="shared" si="25"/>
        <v>11.5</v>
      </c>
      <c r="K28" s="11">
        <f t="shared" si="26"/>
        <v>12</v>
      </c>
      <c r="L28" s="11">
        <f t="shared" si="27"/>
        <v>11.5</v>
      </c>
      <c r="M28" s="11">
        <f t="shared" si="28"/>
        <v>11.2</v>
      </c>
      <c r="N28" s="11">
        <f t="shared" si="29"/>
        <v>11.9</v>
      </c>
      <c r="O28" s="11">
        <f t="shared" si="30"/>
        <v>11.4</v>
      </c>
      <c r="P28" s="11">
        <f t="shared" si="31"/>
        <v>11.2</v>
      </c>
      <c r="Q28" s="5"/>
      <c r="R28" s="5"/>
      <c r="S28" s="2" t="s">
        <v>0</v>
      </c>
      <c r="T28" s="1">
        <v>11.4</v>
      </c>
      <c r="U28" s="1">
        <v>12.1</v>
      </c>
      <c r="V28" s="1">
        <v>11.4</v>
      </c>
      <c r="W28" s="1">
        <v>11.5</v>
      </c>
      <c r="X28" s="1">
        <v>11.4</v>
      </c>
      <c r="Y28" s="1">
        <v>11.7</v>
      </c>
      <c r="Z28" s="1">
        <v>12.3</v>
      </c>
      <c r="AA28" s="1">
        <v>11.5</v>
      </c>
      <c r="AB28" s="1">
        <v>12</v>
      </c>
      <c r="AC28" s="1">
        <v>11.5</v>
      </c>
      <c r="AD28" s="1">
        <v>11.2</v>
      </c>
      <c r="AE28" s="1">
        <v>11.9</v>
      </c>
      <c r="AF28" s="1">
        <v>11.4</v>
      </c>
      <c r="AG28" s="1">
        <v>11.2</v>
      </c>
      <c r="AH28" s="1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2:49" ht="14.4" customHeight="1" x14ac:dyDescent="0.3">
      <c r="B29" s="2" t="s">
        <v>2</v>
      </c>
      <c r="C29" s="11">
        <f t="shared" si="18"/>
        <v>9.5</v>
      </c>
      <c r="D29" s="11">
        <f t="shared" si="19"/>
        <v>10.1</v>
      </c>
      <c r="E29" s="11">
        <f t="shared" si="20"/>
        <v>9.3000000000000007</v>
      </c>
      <c r="F29" s="11">
        <f t="shared" si="21"/>
        <v>9.6999999999999993</v>
      </c>
      <c r="G29" s="11">
        <f t="shared" si="22"/>
        <v>9.1</v>
      </c>
      <c r="H29" s="11">
        <f t="shared" si="23"/>
        <v>9.8000000000000007</v>
      </c>
      <c r="I29" s="11">
        <f t="shared" si="24"/>
        <v>9.8000000000000007</v>
      </c>
      <c r="J29" s="11">
        <f t="shared" si="25"/>
        <v>9.1</v>
      </c>
      <c r="K29" s="11">
        <f t="shared" si="26"/>
        <v>9.6</v>
      </c>
      <c r="L29" s="11">
        <f t="shared" si="27"/>
        <v>9.4</v>
      </c>
      <c r="M29" s="11">
        <f t="shared" si="28"/>
        <v>9.1999999999999993</v>
      </c>
      <c r="N29" s="11">
        <f t="shared" si="29"/>
        <v>9.3000000000000007</v>
      </c>
      <c r="O29" s="11">
        <f t="shared" si="30"/>
        <v>9.5</v>
      </c>
      <c r="P29" s="11">
        <f t="shared" si="31"/>
        <v>9.3000000000000007</v>
      </c>
      <c r="Q29" s="5"/>
      <c r="R29" s="5"/>
      <c r="S29" s="2" t="s">
        <v>2</v>
      </c>
      <c r="T29" s="1">
        <v>9.5</v>
      </c>
      <c r="U29" s="1">
        <v>10.1</v>
      </c>
      <c r="V29" s="1">
        <v>9.3000000000000007</v>
      </c>
      <c r="W29" s="1">
        <v>9.6999999999999993</v>
      </c>
      <c r="X29" s="1">
        <v>9.1</v>
      </c>
      <c r="Y29" s="1">
        <v>9.8000000000000007</v>
      </c>
      <c r="Z29" s="1">
        <v>9.8000000000000007</v>
      </c>
      <c r="AA29" s="1">
        <v>9.1</v>
      </c>
      <c r="AB29" s="1">
        <v>9.6</v>
      </c>
      <c r="AC29" s="1">
        <v>9.4</v>
      </c>
      <c r="AD29" s="1">
        <v>9.1999999999999993</v>
      </c>
      <c r="AE29" s="1">
        <v>9.3000000000000007</v>
      </c>
      <c r="AF29" s="1">
        <v>9.5</v>
      </c>
      <c r="AG29" s="1">
        <v>9.3000000000000007</v>
      </c>
      <c r="AH29" s="1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2:49" x14ac:dyDescent="0.3">
      <c r="B30" s="2" t="s">
        <v>3</v>
      </c>
      <c r="C30" s="11">
        <f t="shared" si="18"/>
        <v>9.1999999999999993</v>
      </c>
      <c r="D30" s="11">
        <f t="shared" si="19"/>
        <v>9.5</v>
      </c>
      <c r="E30" s="11">
        <f t="shared" si="20"/>
        <v>9.4</v>
      </c>
      <c r="F30" s="11">
        <f t="shared" si="21"/>
        <v>9.3000000000000007</v>
      </c>
      <c r="G30" s="11">
        <f t="shared" si="22"/>
        <v>9.3000000000000007</v>
      </c>
      <c r="H30" s="11">
        <f t="shared" si="23"/>
        <v>9.4</v>
      </c>
      <c r="I30" s="11">
        <f t="shared" si="24"/>
        <v>9.6999999999999993</v>
      </c>
      <c r="J30" s="11">
        <f t="shared" si="25"/>
        <v>9</v>
      </c>
      <c r="K30" s="11">
        <f t="shared" si="26"/>
        <v>9.4</v>
      </c>
      <c r="L30" s="11">
        <f t="shared" si="27"/>
        <v>9.4</v>
      </c>
      <c r="M30" s="11">
        <f t="shared" si="28"/>
        <v>9.1</v>
      </c>
      <c r="N30" s="11">
        <f t="shared" si="29"/>
        <v>9.1999999999999993</v>
      </c>
      <c r="O30" s="11">
        <f t="shared" si="30"/>
        <v>9.4</v>
      </c>
      <c r="P30" s="11">
        <f t="shared" si="31"/>
        <v>9.5</v>
      </c>
      <c r="S30" s="2" t="s">
        <v>3</v>
      </c>
      <c r="T30" s="1">
        <v>9.1999999999999993</v>
      </c>
      <c r="U30" s="1">
        <v>9.5</v>
      </c>
      <c r="V30" s="1">
        <v>9.4</v>
      </c>
      <c r="W30" s="1">
        <v>9.3000000000000007</v>
      </c>
      <c r="X30" s="1">
        <v>9.3000000000000007</v>
      </c>
      <c r="Y30" s="1">
        <v>9.4</v>
      </c>
      <c r="Z30" s="1">
        <v>9.6999999999999993</v>
      </c>
      <c r="AA30" s="1">
        <v>9</v>
      </c>
      <c r="AB30" s="1">
        <v>9.4</v>
      </c>
      <c r="AC30" s="1">
        <v>9.4</v>
      </c>
      <c r="AD30" s="1">
        <v>9.1</v>
      </c>
      <c r="AE30" s="1">
        <v>9.1999999999999993</v>
      </c>
      <c r="AF30" s="1">
        <v>9.4</v>
      </c>
      <c r="AG30" s="1">
        <v>9.5</v>
      </c>
      <c r="AH30" s="1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2:49" x14ac:dyDescent="0.3">
      <c r="B31" s="2" t="s">
        <v>4</v>
      </c>
      <c r="C31" s="11">
        <f t="shared" si="18"/>
        <v>9.6</v>
      </c>
      <c r="D31" s="11">
        <f t="shared" si="19"/>
        <v>10.1</v>
      </c>
      <c r="E31" s="11">
        <f t="shared" si="20"/>
        <v>10</v>
      </c>
      <c r="F31" s="11">
        <f t="shared" si="21"/>
        <v>9.5</v>
      </c>
      <c r="G31" s="11">
        <f t="shared" si="22"/>
        <v>9.6999999999999993</v>
      </c>
      <c r="H31" s="11">
        <f t="shared" si="23"/>
        <v>9.9</v>
      </c>
      <c r="I31" s="11">
        <f t="shared" si="24"/>
        <v>10.5</v>
      </c>
      <c r="J31" s="11">
        <f t="shared" si="25"/>
        <v>9.6</v>
      </c>
      <c r="K31" s="11">
        <f t="shared" si="26"/>
        <v>10</v>
      </c>
      <c r="L31" s="11">
        <f t="shared" si="27"/>
        <v>9.8000000000000007</v>
      </c>
      <c r="M31" s="11">
        <f t="shared" si="28"/>
        <v>9.6999999999999993</v>
      </c>
      <c r="N31" s="11">
        <f t="shared" si="29"/>
        <v>10.5</v>
      </c>
      <c r="O31" s="11">
        <f t="shared" si="30"/>
        <v>9.6</v>
      </c>
      <c r="P31" s="11">
        <f t="shared" si="31"/>
        <v>9.6</v>
      </c>
      <c r="S31" s="2" t="s">
        <v>4</v>
      </c>
      <c r="T31" s="1">
        <v>9.6</v>
      </c>
      <c r="U31" s="1">
        <v>10.1</v>
      </c>
      <c r="V31" s="1">
        <v>10</v>
      </c>
      <c r="W31" s="1">
        <v>9.5</v>
      </c>
      <c r="X31" s="1">
        <v>9.6999999999999993</v>
      </c>
      <c r="Y31" s="1">
        <v>9.9</v>
      </c>
      <c r="Z31" s="1">
        <v>10.5</v>
      </c>
      <c r="AA31" s="1">
        <v>9.6</v>
      </c>
      <c r="AB31" s="1">
        <v>10</v>
      </c>
      <c r="AC31" s="1">
        <v>9.8000000000000007</v>
      </c>
      <c r="AD31" s="1">
        <v>9.6999999999999993</v>
      </c>
      <c r="AE31" s="1">
        <v>10.5</v>
      </c>
      <c r="AF31" s="1">
        <v>9.6</v>
      </c>
      <c r="AG31" s="1">
        <v>9.6</v>
      </c>
      <c r="AH31" s="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2:49" x14ac:dyDescent="0.3">
      <c r="B32" s="2" t="s">
        <v>44</v>
      </c>
      <c r="C32" s="11">
        <f t="shared" si="18"/>
        <v>10.199999999999999</v>
      </c>
      <c r="D32" s="11">
        <f t="shared" si="19"/>
        <v>10.199999999999999</v>
      </c>
      <c r="E32" s="11">
        <f t="shared" si="20"/>
        <v>10.8</v>
      </c>
      <c r="F32" s="11">
        <f t="shared" si="21"/>
        <v>10.7</v>
      </c>
      <c r="G32" s="11">
        <f t="shared" si="22"/>
        <v>10.8</v>
      </c>
      <c r="H32" s="11">
        <f t="shared" si="23"/>
        <v>10.4</v>
      </c>
      <c r="I32" s="11">
        <f t="shared" si="24"/>
        <v>9.8000000000000007</v>
      </c>
      <c r="J32" s="11">
        <f t="shared" si="25"/>
        <v>10.9</v>
      </c>
      <c r="K32" s="11">
        <f t="shared" si="26"/>
        <v>10.4</v>
      </c>
      <c r="L32" s="11">
        <f t="shared" si="27"/>
        <v>10.6</v>
      </c>
      <c r="M32" s="11">
        <f t="shared" si="28"/>
        <v>11.2</v>
      </c>
      <c r="N32" s="11">
        <f t="shared" si="29"/>
        <v>10.3</v>
      </c>
      <c r="O32" s="11">
        <f t="shared" si="30"/>
        <v>10.7</v>
      </c>
      <c r="P32" s="11">
        <f t="shared" si="31"/>
        <v>11.1</v>
      </c>
      <c r="S32" s="2" t="s">
        <v>28</v>
      </c>
      <c r="T32" s="1">
        <v>10.199999999999999</v>
      </c>
      <c r="U32" s="1">
        <v>10.199999999999999</v>
      </c>
      <c r="V32" s="1">
        <v>10.8</v>
      </c>
      <c r="W32" s="1">
        <v>10.7</v>
      </c>
      <c r="X32" s="1">
        <v>10.8</v>
      </c>
      <c r="Y32" s="1">
        <v>10.4</v>
      </c>
      <c r="Z32" s="1">
        <v>9.8000000000000007</v>
      </c>
      <c r="AA32" s="1">
        <v>10.9</v>
      </c>
      <c r="AB32" s="1">
        <v>10.4</v>
      </c>
      <c r="AC32" s="1">
        <v>10.6</v>
      </c>
      <c r="AD32" s="1">
        <v>11.2</v>
      </c>
      <c r="AE32" s="1">
        <v>10.3</v>
      </c>
      <c r="AF32" s="1">
        <v>10.7</v>
      </c>
      <c r="AG32" s="1">
        <v>11.1</v>
      </c>
      <c r="AH32" s="1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2:49" x14ac:dyDescent="0.3">
      <c r="B33" s="2" t="s">
        <v>43</v>
      </c>
      <c r="C33" s="11">
        <f t="shared" si="18"/>
        <v>9.1</v>
      </c>
      <c r="D33" s="11">
        <f t="shared" si="19"/>
        <v>9.3000000000000007</v>
      </c>
      <c r="E33" s="11">
        <f t="shared" si="20"/>
        <v>9.4</v>
      </c>
      <c r="F33" s="11">
        <f t="shared" si="21"/>
        <v>9.3000000000000007</v>
      </c>
      <c r="G33" s="11">
        <f t="shared" si="22"/>
        <v>9.4</v>
      </c>
      <c r="H33" s="11">
        <f t="shared" si="23"/>
        <v>8.9</v>
      </c>
      <c r="I33" s="11">
        <f t="shared" si="24"/>
        <v>9</v>
      </c>
      <c r="J33" s="11">
        <f t="shared" si="25"/>
        <v>9.1999999999999993</v>
      </c>
      <c r="K33" s="11">
        <f t="shared" si="26"/>
        <v>9.1999999999999993</v>
      </c>
      <c r="L33" s="11">
        <f t="shared" si="27"/>
        <v>9.4</v>
      </c>
      <c r="M33" s="11">
        <f t="shared" si="28"/>
        <v>8.9</v>
      </c>
      <c r="N33" s="11">
        <f t="shared" si="29"/>
        <v>8.8000000000000007</v>
      </c>
      <c r="O33" s="11">
        <f t="shared" si="30"/>
        <v>9.3000000000000007</v>
      </c>
      <c r="P33" s="11">
        <f t="shared" si="31"/>
        <v>9.1</v>
      </c>
      <c r="S33" s="2" t="s">
        <v>27</v>
      </c>
      <c r="T33" s="1">
        <v>9.1</v>
      </c>
      <c r="U33" s="1">
        <v>9.3000000000000007</v>
      </c>
      <c r="V33" s="1">
        <v>9.4</v>
      </c>
      <c r="W33" s="1">
        <v>9.3000000000000007</v>
      </c>
      <c r="X33" s="1">
        <v>9.4</v>
      </c>
      <c r="Y33" s="1">
        <v>8.9</v>
      </c>
      <c r="Z33" s="1">
        <v>9</v>
      </c>
      <c r="AA33" s="1">
        <v>9.1999999999999993</v>
      </c>
      <c r="AB33" s="1">
        <v>9.1999999999999993</v>
      </c>
      <c r="AC33" s="1">
        <v>9.4</v>
      </c>
      <c r="AD33" s="1">
        <v>8.9</v>
      </c>
      <c r="AE33" s="1">
        <v>8.8000000000000007</v>
      </c>
      <c r="AF33" s="1">
        <v>9.3000000000000007</v>
      </c>
      <c r="AG33" s="1">
        <v>9.1</v>
      </c>
      <c r="AH33" s="1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2:49" x14ac:dyDescent="0.3">
      <c r="B34" s="6" t="s">
        <v>40</v>
      </c>
      <c r="C34" s="11">
        <f t="shared" si="18"/>
        <v>9.5</v>
      </c>
      <c r="D34" s="11">
        <f t="shared" si="19"/>
        <v>9.1999999999999993</v>
      </c>
      <c r="E34" s="11">
        <f t="shared" si="20"/>
        <v>9.4</v>
      </c>
      <c r="F34" s="11">
        <f t="shared" si="21"/>
        <v>9.6</v>
      </c>
      <c r="G34" s="11">
        <f t="shared" si="22"/>
        <v>9.3000000000000007</v>
      </c>
      <c r="H34" s="11">
        <f t="shared" si="23"/>
        <v>9.1999999999999993</v>
      </c>
      <c r="I34" s="11">
        <f t="shared" si="24"/>
        <v>10</v>
      </c>
      <c r="J34" s="11">
        <f t="shared" si="25"/>
        <v>9.3000000000000007</v>
      </c>
      <c r="K34" s="11">
        <f t="shared" si="26"/>
        <v>9.5</v>
      </c>
      <c r="L34" s="11">
        <f t="shared" si="27"/>
        <v>9.5</v>
      </c>
      <c r="M34" s="11">
        <f t="shared" si="28"/>
        <v>9.3000000000000007</v>
      </c>
      <c r="N34" s="11">
        <f t="shared" si="29"/>
        <v>9.6</v>
      </c>
      <c r="O34" s="11">
        <f t="shared" si="30"/>
        <v>9.3000000000000007</v>
      </c>
      <c r="P34" s="11">
        <f t="shared" si="31"/>
        <v>9.4</v>
      </c>
      <c r="S34" s="2" t="s">
        <v>32</v>
      </c>
      <c r="T34" s="1">
        <v>9.5</v>
      </c>
      <c r="U34" s="1">
        <v>9.1999999999999993</v>
      </c>
      <c r="V34" s="1">
        <v>9.4</v>
      </c>
      <c r="W34" s="1">
        <v>9.6</v>
      </c>
      <c r="X34" s="1">
        <v>9.3000000000000007</v>
      </c>
      <c r="Y34" s="1">
        <v>9.1999999999999993</v>
      </c>
      <c r="Z34" s="1">
        <v>10</v>
      </c>
      <c r="AA34" s="1">
        <v>9.3000000000000007</v>
      </c>
      <c r="AB34" s="1">
        <v>9.5</v>
      </c>
      <c r="AC34" s="1">
        <v>9.5</v>
      </c>
      <c r="AD34" s="1">
        <v>9.3000000000000007</v>
      </c>
      <c r="AE34" s="1">
        <v>9.6</v>
      </c>
      <c r="AF34" s="1">
        <v>9.3000000000000007</v>
      </c>
      <c r="AG34" s="1">
        <v>9.4</v>
      </c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2:49" x14ac:dyDescent="0.3">
      <c r="B35" s="6" t="s">
        <v>20</v>
      </c>
      <c r="C35" s="11">
        <f t="shared" si="18"/>
        <v>10.7</v>
      </c>
      <c r="D35" s="11">
        <f t="shared" si="19"/>
        <v>11.7</v>
      </c>
      <c r="E35" s="11">
        <f t="shared" si="20"/>
        <v>12.3</v>
      </c>
      <c r="F35" s="11">
        <f t="shared" si="21"/>
        <v>12</v>
      </c>
      <c r="G35" s="11">
        <f t="shared" si="22"/>
        <v>11.9</v>
      </c>
      <c r="H35" s="11">
        <f t="shared" si="23"/>
        <v>12</v>
      </c>
      <c r="I35" s="11">
        <f t="shared" si="24"/>
        <v>11.2</v>
      </c>
      <c r="J35" s="11">
        <f t="shared" si="25"/>
        <v>12</v>
      </c>
      <c r="K35" s="11">
        <f t="shared" si="26"/>
        <v>11.6</v>
      </c>
      <c r="L35" s="11">
        <f t="shared" si="27"/>
        <v>11.1</v>
      </c>
      <c r="M35" s="11">
        <f t="shared" si="28"/>
        <v>12.3</v>
      </c>
      <c r="N35" s="11">
        <f t="shared" si="29"/>
        <v>11.9</v>
      </c>
      <c r="O35" s="11">
        <f t="shared" si="30"/>
        <v>12.2</v>
      </c>
      <c r="P35" s="11">
        <f t="shared" si="31"/>
        <v>12.2</v>
      </c>
      <c r="S35" s="2" t="s">
        <v>30</v>
      </c>
      <c r="T35" s="1">
        <v>10.7</v>
      </c>
      <c r="U35" s="1">
        <v>11.7</v>
      </c>
      <c r="V35" s="1">
        <v>12.3</v>
      </c>
      <c r="W35" s="1">
        <v>12</v>
      </c>
      <c r="X35" s="1">
        <v>11.9</v>
      </c>
      <c r="Y35" s="1">
        <v>12</v>
      </c>
      <c r="Z35" s="1">
        <v>11.2</v>
      </c>
      <c r="AA35" s="1">
        <v>12</v>
      </c>
      <c r="AB35" s="1">
        <v>11.6</v>
      </c>
      <c r="AC35" s="1">
        <v>11.1</v>
      </c>
      <c r="AD35" s="1">
        <v>12.3</v>
      </c>
      <c r="AE35" s="1">
        <v>11.9</v>
      </c>
      <c r="AF35" s="1">
        <v>12.2</v>
      </c>
      <c r="AG35" s="1">
        <v>12.2</v>
      </c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2:49" x14ac:dyDescent="0.3">
      <c r="B36" s="2" t="s">
        <v>38</v>
      </c>
      <c r="C36" s="11">
        <f>T36</f>
        <v>9.4</v>
      </c>
      <c r="D36" s="11">
        <f t="shared" si="19"/>
        <v>9.6</v>
      </c>
      <c r="E36" s="11">
        <f t="shared" si="20"/>
        <v>10</v>
      </c>
      <c r="F36" s="11">
        <f t="shared" si="21"/>
        <v>10</v>
      </c>
      <c r="G36" s="11">
        <f t="shared" si="22"/>
        <v>10</v>
      </c>
      <c r="H36" s="11">
        <f t="shared" si="23"/>
        <v>9.6999999999999993</v>
      </c>
      <c r="I36" s="11">
        <f t="shared" si="24"/>
        <v>9.4</v>
      </c>
      <c r="J36" s="11">
        <f t="shared" si="25"/>
        <v>9.8000000000000007</v>
      </c>
      <c r="K36" s="11">
        <f t="shared" si="26"/>
        <v>9.6999999999999993</v>
      </c>
      <c r="L36" s="11">
        <f t="shared" si="27"/>
        <v>9.5</v>
      </c>
      <c r="M36" s="11">
        <f t="shared" si="28"/>
        <v>9.8000000000000007</v>
      </c>
      <c r="N36" s="11">
        <f t="shared" si="29"/>
        <v>9.6</v>
      </c>
      <c r="O36" s="11">
        <f t="shared" si="30"/>
        <v>10.199999999999999</v>
      </c>
      <c r="P36" s="11">
        <f t="shared" si="31"/>
        <v>9.8000000000000007</v>
      </c>
      <c r="S36" s="2" t="s">
        <v>29</v>
      </c>
      <c r="T36" s="1">
        <v>9.4</v>
      </c>
      <c r="U36" s="1">
        <v>9.6</v>
      </c>
      <c r="V36" s="1">
        <v>10</v>
      </c>
      <c r="W36" s="1">
        <v>10</v>
      </c>
      <c r="X36" s="1">
        <v>10</v>
      </c>
      <c r="Y36" s="1">
        <v>9.6999999999999993</v>
      </c>
      <c r="Z36" s="1">
        <v>9.4</v>
      </c>
      <c r="AA36" s="1">
        <v>9.8000000000000007</v>
      </c>
      <c r="AB36" s="1">
        <v>9.6999999999999993</v>
      </c>
      <c r="AC36" s="1">
        <v>9.5</v>
      </c>
      <c r="AD36" s="1">
        <v>9.8000000000000007</v>
      </c>
      <c r="AE36" s="1">
        <v>9.6</v>
      </c>
      <c r="AF36" s="1">
        <v>10.199999999999999</v>
      </c>
      <c r="AG36" s="1">
        <v>9.8000000000000007</v>
      </c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2:49" x14ac:dyDescent="0.3">
      <c r="B37" s="27" t="s">
        <v>48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S37" s="2"/>
      <c r="AG37" s="1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</row>
    <row r="38" spans="2:49" x14ac:dyDescent="0.3">
      <c r="B38" s="6" t="s">
        <v>41</v>
      </c>
      <c r="C38" s="19">
        <f>T38</f>
        <v>9.5</v>
      </c>
      <c r="D38" s="19">
        <f t="shared" ref="D38:P39" si="32">U38</f>
        <v>9.1</v>
      </c>
      <c r="E38" s="19">
        <f t="shared" si="32"/>
        <v>9.3000000000000007</v>
      </c>
      <c r="F38" s="19">
        <f t="shared" si="32"/>
        <v>9.6999999999999993</v>
      </c>
      <c r="G38" s="19">
        <f t="shared" si="32"/>
        <v>9.3000000000000007</v>
      </c>
      <c r="H38" s="19">
        <f t="shared" si="32"/>
        <v>9.1999999999999993</v>
      </c>
      <c r="I38" s="19">
        <f t="shared" si="32"/>
        <v>9.9</v>
      </c>
      <c r="J38" s="19">
        <f t="shared" si="32"/>
        <v>9.3000000000000007</v>
      </c>
      <c r="K38" s="19">
        <f t="shared" si="32"/>
        <v>9.5</v>
      </c>
      <c r="L38" s="19">
        <f t="shared" si="32"/>
        <v>9.5</v>
      </c>
      <c r="M38" s="19">
        <f t="shared" si="32"/>
        <v>9.3000000000000007</v>
      </c>
      <c r="N38" s="19">
        <f t="shared" si="32"/>
        <v>9.6</v>
      </c>
      <c r="O38" s="19">
        <f t="shared" si="32"/>
        <v>9.3000000000000007</v>
      </c>
      <c r="P38" s="19">
        <f t="shared" si="32"/>
        <v>9.4</v>
      </c>
      <c r="S38" s="2" t="s">
        <v>33</v>
      </c>
      <c r="T38" s="1">
        <v>9.5</v>
      </c>
      <c r="U38" s="1">
        <v>9.1</v>
      </c>
      <c r="V38" s="1">
        <v>9.3000000000000007</v>
      </c>
      <c r="W38" s="1">
        <v>9.6999999999999993</v>
      </c>
      <c r="X38" s="1">
        <v>9.3000000000000007</v>
      </c>
      <c r="Y38" s="1">
        <v>9.1999999999999993</v>
      </c>
      <c r="Z38" s="1">
        <v>9.9</v>
      </c>
      <c r="AA38" s="1">
        <v>9.3000000000000007</v>
      </c>
      <c r="AB38" s="1">
        <v>9.5</v>
      </c>
      <c r="AC38" s="1">
        <v>9.5</v>
      </c>
      <c r="AD38" s="1">
        <v>9.3000000000000007</v>
      </c>
      <c r="AE38" s="1">
        <v>9.6</v>
      </c>
      <c r="AF38" s="1">
        <v>9.3000000000000007</v>
      </c>
      <c r="AG38" s="1">
        <v>9.4</v>
      </c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</row>
    <row r="39" spans="2:49" x14ac:dyDescent="0.3">
      <c r="B39" s="6" t="s">
        <v>37</v>
      </c>
      <c r="C39" s="21">
        <f>T39</f>
        <v>9.6999999999999993</v>
      </c>
      <c r="D39" s="21">
        <f t="shared" si="32"/>
        <v>10.4</v>
      </c>
      <c r="E39" s="21">
        <f t="shared" si="32"/>
        <v>9.9</v>
      </c>
      <c r="F39" s="21">
        <f t="shared" si="32"/>
        <v>9.6</v>
      </c>
      <c r="G39" s="21">
        <f t="shared" si="32"/>
        <v>10.199999999999999</v>
      </c>
      <c r="H39" s="21">
        <f t="shared" si="32"/>
        <v>10.1</v>
      </c>
      <c r="I39" s="21">
        <f t="shared" si="32"/>
        <v>9.6</v>
      </c>
      <c r="J39" s="21">
        <f t="shared" si="32"/>
        <v>10</v>
      </c>
      <c r="K39" s="21">
        <f t="shared" si="32"/>
        <v>9.6999999999999993</v>
      </c>
      <c r="L39" s="21">
        <f t="shared" si="32"/>
        <v>9.8000000000000007</v>
      </c>
      <c r="M39" s="21">
        <f t="shared" si="32"/>
        <v>9.6999999999999993</v>
      </c>
      <c r="N39" s="21">
        <f t="shared" si="32"/>
        <v>9.6999999999999993</v>
      </c>
      <c r="O39" s="21">
        <f t="shared" si="32"/>
        <v>9.9</v>
      </c>
      <c r="P39" s="21">
        <f t="shared" si="32"/>
        <v>9.5</v>
      </c>
      <c r="S39" s="2" t="s">
        <v>31</v>
      </c>
      <c r="T39" s="1">
        <v>9.6999999999999993</v>
      </c>
      <c r="U39" s="1">
        <v>10.4</v>
      </c>
      <c r="V39" s="1">
        <v>9.9</v>
      </c>
      <c r="W39" s="1">
        <v>9.6</v>
      </c>
      <c r="X39" s="1">
        <v>10.199999999999999</v>
      </c>
      <c r="Y39" s="1">
        <v>10.1</v>
      </c>
      <c r="Z39" s="1">
        <v>9.6</v>
      </c>
      <c r="AA39" s="1">
        <v>10</v>
      </c>
      <c r="AB39" s="1">
        <v>9.6999999999999993</v>
      </c>
      <c r="AC39" s="1">
        <v>9.8000000000000007</v>
      </c>
      <c r="AD39" s="1">
        <v>9.6999999999999993</v>
      </c>
      <c r="AE39" s="1">
        <v>9.6999999999999993</v>
      </c>
      <c r="AF39" s="1">
        <v>9.9</v>
      </c>
      <c r="AG39" s="1">
        <v>9.5</v>
      </c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</row>
    <row r="40" spans="2:49" x14ac:dyDescent="0.3">
      <c r="B40" s="27" t="s">
        <v>49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S40" s="2"/>
      <c r="AG40" s="1"/>
      <c r="AH40" s="7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</row>
    <row r="41" spans="2:49" x14ac:dyDescent="0.3">
      <c r="B41" s="2" t="s">
        <v>22</v>
      </c>
      <c r="C41" s="19">
        <f>T41</f>
        <v>8.9</v>
      </c>
      <c r="D41" s="19">
        <f t="shared" ref="D41:P42" si="33">U41</f>
        <v>9</v>
      </c>
      <c r="E41" s="19">
        <f t="shared" si="33"/>
        <v>8.9</v>
      </c>
      <c r="F41" s="19">
        <f t="shared" si="33"/>
        <v>9</v>
      </c>
      <c r="G41" s="19">
        <f t="shared" si="33"/>
        <v>9</v>
      </c>
      <c r="H41" s="19">
        <f t="shared" si="33"/>
        <v>8.9</v>
      </c>
      <c r="I41" s="19">
        <f t="shared" si="33"/>
        <v>9.1</v>
      </c>
      <c r="J41" s="19">
        <f t="shared" si="33"/>
        <v>8.8000000000000007</v>
      </c>
      <c r="K41" s="19">
        <f t="shared" si="33"/>
        <v>9.1999999999999993</v>
      </c>
      <c r="L41" s="19">
        <f t="shared" si="33"/>
        <v>9.1</v>
      </c>
      <c r="M41" s="19">
        <f t="shared" si="33"/>
        <v>8.9</v>
      </c>
      <c r="N41" s="19">
        <f t="shared" si="33"/>
        <v>9</v>
      </c>
      <c r="O41" s="19">
        <f t="shared" si="33"/>
        <v>9</v>
      </c>
      <c r="P41" s="19">
        <f t="shared" si="33"/>
        <v>8.9</v>
      </c>
      <c r="S41" s="2" t="s">
        <v>34</v>
      </c>
      <c r="T41" s="1">
        <v>8.9</v>
      </c>
      <c r="U41" s="1">
        <v>9</v>
      </c>
      <c r="V41" s="1">
        <v>8.9</v>
      </c>
      <c r="W41" s="1">
        <v>9</v>
      </c>
      <c r="X41" s="1">
        <v>9</v>
      </c>
      <c r="Y41" s="1">
        <v>8.9</v>
      </c>
      <c r="Z41" s="1">
        <v>9.1</v>
      </c>
      <c r="AA41" s="1">
        <v>8.8000000000000007</v>
      </c>
      <c r="AB41" s="1">
        <v>9.1999999999999993</v>
      </c>
      <c r="AC41" s="1">
        <v>9.1</v>
      </c>
      <c r="AD41" s="1">
        <v>8.9</v>
      </c>
      <c r="AE41" s="1">
        <v>9</v>
      </c>
      <c r="AF41" s="1">
        <v>9</v>
      </c>
      <c r="AG41" s="1">
        <v>8.9</v>
      </c>
      <c r="AH41" s="7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</row>
    <row r="42" spans="2:49" ht="15" thickBot="1" x14ac:dyDescent="0.35">
      <c r="B42" s="9" t="s">
        <v>23</v>
      </c>
      <c r="C42" s="20">
        <f>T42</f>
        <v>8.9</v>
      </c>
      <c r="D42" s="20">
        <f t="shared" si="33"/>
        <v>9</v>
      </c>
      <c r="E42" s="20">
        <f t="shared" si="33"/>
        <v>9.1</v>
      </c>
      <c r="F42" s="20">
        <f t="shared" si="33"/>
        <v>9.1</v>
      </c>
      <c r="G42" s="20">
        <f t="shared" si="33"/>
        <v>9</v>
      </c>
      <c r="H42" s="20">
        <f t="shared" si="33"/>
        <v>8.9</v>
      </c>
      <c r="I42" s="20">
        <f t="shared" si="33"/>
        <v>9.1999999999999993</v>
      </c>
      <c r="J42" s="20">
        <f t="shared" si="33"/>
        <v>8.8000000000000007</v>
      </c>
      <c r="K42" s="20">
        <f t="shared" si="33"/>
        <v>9.3000000000000007</v>
      </c>
      <c r="L42" s="20">
        <f t="shared" si="33"/>
        <v>9.1</v>
      </c>
      <c r="M42" s="20">
        <f t="shared" si="33"/>
        <v>9.1</v>
      </c>
      <c r="N42" s="20">
        <f t="shared" si="33"/>
        <v>8.9</v>
      </c>
      <c r="O42" s="20">
        <f t="shared" si="33"/>
        <v>9.1</v>
      </c>
      <c r="P42" s="20">
        <f t="shared" si="33"/>
        <v>9.1999999999999993</v>
      </c>
      <c r="S42" s="2" t="s">
        <v>35</v>
      </c>
      <c r="T42" s="1">
        <v>8.9</v>
      </c>
      <c r="U42" s="1">
        <v>9</v>
      </c>
      <c r="V42" s="1">
        <v>9.1</v>
      </c>
      <c r="W42" s="1">
        <v>9.1</v>
      </c>
      <c r="X42" s="1">
        <v>9</v>
      </c>
      <c r="Y42" s="1">
        <v>8.9</v>
      </c>
      <c r="Z42" s="1">
        <v>9.1999999999999993</v>
      </c>
      <c r="AA42" s="1">
        <v>8.8000000000000007</v>
      </c>
      <c r="AB42" s="1">
        <v>9.3000000000000007</v>
      </c>
      <c r="AC42" s="1">
        <v>9.1</v>
      </c>
      <c r="AD42" s="1">
        <v>9.1</v>
      </c>
      <c r="AE42" s="1">
        <v>8.9</v>
      </c>
      <c r="AF42" s="1">
        <v>9.1</v>
      </c>
      <c r="AG42" s="1">
        <v>9.1999999999999993</v>
      </c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</row>
    <row r="43" spans="2:49" ht="15" customHeight="1" x14ac:dyDescent="0.3">
      <c r="B43" s="24" t="s">
        <v>50</v>
      </c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S43" s="2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</row>
    <row r="44" spans="2:49" ht="14.4" customHeight="1" x14ac:dyDescent="0.3"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S44" s="2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</row>
    <row r="45" spans="2:49" x14ac:dyDescent="0.3"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S45" s="2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</row>
    <row r="46" spans="2:49" x14ac:dyDescent="0.3"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S46" s="2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</row>
    <row r="47" spans="2:49" x14ac:dyDescent="0.3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S47" s="2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</row>
    <row r="48" spans="2:49" x14ac:dyDescent="0.3"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S48" s="2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</row>
    <row r="49" spans="2:49" x14ac:dyDescent="0.3"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S49" s="2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</row>
    <row r="50" spans="2:49" x14ac:dyDescent="0.3">
      <c r="S50" s="2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</row>
    <row r="51" spans="2:49" x14ac:dyDescent="0.3">
      <c r="S51" s="2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</row>
    <row r="52" spans="2:49" x14ac:dyDescent="0.3">
      <c r="S52" s="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</row>
    <row r="53" spans="2:49" x14ac:dyDescent="0.3"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</row>
    <row r="54" spans="2:49" x14ac:dyDescent="0.3">
      <c r="S54" s="2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</row>
    <row r="55" spans="2:49" x14ac:dyDescent="0.3">
      <c r="S55" s="2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</row>
    <row r="56" spans="2:49" x14ac:dyDescent="0.3"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</row>
    <row r="57" spans="2:49" x14ac:dyDescent="0.3">
      <c r="B57" s="6"/>
      <c r="S57" s="2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</row>
    <row r="58" spans="2:49" x14ac:dyDescent="0.3">
      <c r="B58" s="6"/>
      <c r="S58" s="2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</row>
    <row r="59" spans="2:49" x14ac:dyDescent="0.3">
      <c r="B59" s="6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</row>
    <row r="60" spans="2:49" x14ac:dyDescent="0.3">
      <c r="B60" s="6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</row>
    <row r="61" spans="2:49" x14ac:dyDescent="0.3">
      <c r="B61" s="6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</row>
    <row r="62" spans="2:49" x14ac:dyDescent="0.3">
      <c r="B62" s="6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</row>
    <row r="63" spans="2:49" x14ac:dyDescent="0.3">
      <c r="B63" s="6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</row>
    <row r="64" spans="2:49" x14ac:dyDescent="0.3"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</row>
    <row r="65" spans="2:49" x14ac:dyDescent="0.3"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</row>
    <row r="66" spans="2:49" x14ac:dyDescent="0.3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</row>
    <row r="67" spans="2:49" x14ac:dyDescent="0.3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</row>
    <row r="70" spans="2:49" x14ac:dyDescent="0.3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</row>
    <row r="71" spans="2:49" x14ac:dyDescent="0.3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</row>
    <row r="73" spans="2:49" x14ac:dyDescent="0.3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</row>
    <row r="74" spans="2:49" x14ac:dyDescent="0.3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</row>
    <row r="76" spans="2:49" x14ac:dyDescent="0.3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</row>
    <row r="77" spans="2:49" x14ac:dyDescent="0.3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</row>
  </sheetData>
  <mergeCells count="8">
    <mergeCell ref="B43:P48"/>
    <mergeCell ref="B2:P2"/>
    <mergeCell ref="B24:P24"/>
    <mergeCell ref="B37:P37"/>
    <mergeCell ref="B40:P40"/>
    <mergeCell ref="B5:P5"/>
    <mergeCell ref="B18:P18"/>
    <mergeCell ref="B21:P2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11904f23-f0db-4cdc-96f7-390bd55fcee8}" enabled="0" method="" siteId="{11904f23-f0db-4cdc-96f7-390bd55fce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Shafqat Iqbal</cp:lastModifiedBy>
  <dcterms:created xsi:type="dcterms:W3CDTF">2015-06-05T18:17:20Z</dcterms:created>
  <dcterms:modified xsi:type="dcterms:W3CDTF">2026-04-14T13:49:47Z</dcterms:modified>
</cp:coreProperties>
</file>