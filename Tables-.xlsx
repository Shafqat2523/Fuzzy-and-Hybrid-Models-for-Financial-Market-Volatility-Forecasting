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05" yWindow="-105" windowWidth="25710" windowHeight="12420" tabRatio="795" activeTab="1"/>
  </bookViews>
  <sheets>
    <sheet name="Table1" sheetId="1" r:id="rId1"/>
    <sheet name="Table2" sheetId="2" r:id="rId2"/>
    <sheet name="Table3" sheetId="3" r:id="rId3"/>
    <sheet name="TableA1" sheetId="5" r:id="rId4"/>
    <sheet name="TableA2" sheetId="6" r:id="rId5"/>
    <sheet name="TableA3" sheetId="7" r:id="rId6"/>
    <sheet name="TableA4" sheetId="9" r:id="rId7"/>
    <sheet name="TableA5" sheetId="10" r:id="rId8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2" i="10" l="1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K17" i="10"/>
  <c r="J17" i="10"/>
  <c r="I17" i="10"/>
  <c r="H17" i="10"/>
  <c r="G17" i="10"/>
  <c r="K15" i="10"/>
  <c r="J15" i="10"/>
  <c r="I15" i="10"/>
  <c r="H15" i="10"/>
  <c r="E15" i="10"/>
  <c r="D15" i="10"/>
  <c r="C15" i="10"/>
  <c r="N14" i="10"/>
  <c r="K10" i="10"/>
  <c r="J10" i="10"/>
  <c r="I10" i="10"/>
  <c r="K8" i="10"/>
  <c r="J8" i="10"/>
  <c r="I8" i="10"/>
  <c r="G8" i="10"/>
  <c r="F8" i="10"/>
  <c r="E8" i="10"/>
  <c r="P7" i="10"/>
  <c r="P6" i="10"/>
  <c r="P14" i="10" s="1"/>
  <c r="O6" i="10"/>
  <c r="O14" i="10" s="1"/>
  <c r="N6" i="10"/>
  <c r="N23" i="10" s="1"/>
  <c r="M6" i="10"/>
  <c r="M23" i="10" s="1"/>
  <c r="L6" i="10"/>
  <c r="L12" i="10" s="1"/>
  <c r="K6" i="10"/>
  <c r="K12" i="10" s="1"/>
  <c r="J6" i="10"/>
  <c r="J20" i="10" s="1"/>
  <c r="I6" i="10"/>
  <c r="I20" i="10" s="1"/>
  <c r="H6" i="10"/>
  <c r="H10" i="10" s="1"/>
  <c r="G6" i="10"/>
  <c r="G10" i="10" s="1"/>
  <c r="F6" i="10"/>
  <c r="F17" i="10" s="1"/>
  <c r="E6" i="10"/>
  <c r="E17" i="10" s="1"/>
  <c r="D6" i="10"/>
  <c r="D8" i="10" s="1"/>
  <c r="C6" i="10"/>
  <c r="C8" i="10" s="1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P20" i="9"/>
  <c r="J17" i="9"/>
  <c r="I17" i="9"/>
  <c r="N15" i="9"/>
  <c r="M15" i="9"/>
  <c r="J15" i="9"/>
  <c r="I15" i="9"/>
  <c r="F15" i="9"/>
  <c r="E15" i="9"/>
  <c r="F13" i="9"/>
  <c r="E13" i="9"/>
  <c r="P12" i="9"/>
  <c r="O12" i="9"/>
  <c r="P10" i="9"/>
  <c r="O10" i="9"/>
  <c r="N10" i="9"/>
  <c r="M10" i="9"/>
  <c r="L10" i="9"/>
  <c r="K10" i="9"/>
  <c r="P8" i="9"/>
  <c r="O8" i="9"/>
  <c r="P6" i="9"/>
  <c r="P23" i="9" s="1"/>
  <c r="O6" i="9"/>
  <c r="O19" i="9" s="1"/>
  <c r="N6" i="9"/>
  <c r="N12" i="9" s="1"/>
  <c r="M6" i="9"/>
  <c r="M12" i="9" s="1"/>
  <c r="L6" i="9"/>
  <c r="L20" i="9" s="1"/>
  <c r="K6" i="9"/>
  <c r="K20" i="9" s="1"/>
  <c r="J6" i="9"/>
  <c r="J10" i="9" s="1"/>
  <c r="I6" i="9"/>
  <c r="I10" i="9" s="1"/>
  <c r="H6" i="9"/>
  <c r="H17" i="9" s="1"/>
  <c r="G6" i="9"/>
  <c r="G17" i="9" s="1"/>
  <c r="F6" i="9"/>
  <c r="F8" i="9" s="1"/>
  <c r="E6" i="9"/>
  <c r="E8" i="9" s="1"/>
  <c r="D6" i="9"/>
  <c r="D15" i="9" s="1"/>
  <c r="C6" i="9"/>
  <c r="C11" i="9" s="1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P15" i="7"/>
  <c r="O15" i="7"/>
  <c r="N15" i="7"/>
  <c r="K15" i="7"/>
  <c r="G15" i="7"/>
  <c r="P13" i="7"/>
  <c r="J13" i="7"/>
  <c r="D13" i="7"/>
  <c r="C13" i="7"/>
  <c r="P12" i="7"/>
  <c r="O12" i="7"/>
  <c r="P11" i="7"/>
  <c r="P10" i="7"/>
  <c r="O10" i="7"/>
  <c r="N10" i="7"/>
  <c r="M10" i="7"/>
  <c r="K10" i="7"/>
  <c r="P6" i="7"/>
  <c r="P23" i="7" s="1"/>
  <c r="O6" i="7"/>
  <c r="O23" i="7" s="1"/>
  <c r="N6" i="7"/>
  <c r="N12" i="7" s="1"/>
  <c r="M6" i="7"/>
  <c r="M12" i="7" s="1"/>
  <c r="L6" i="7"/>
  <c r="L20" i="7" s="1"/>
  <c r="K6" i="7"/>
  <c r="K20" i="7" s="1"/>
  <c r="J6" i="7"/>
  <c r="J10" i="7" s="1"/>
  <c r="I6" i="7"/>
  <c r="I10" i="7" s="1"/>
  <c r="H6" i="7"/>
  <c r="H17" i="7" s="1"/>
  <c r="G6" i="7"/>
  <c r="G17" i="7" s="1"/>
  <c r="F6" i="7"/>
  <c r="F8" i="7" s="1"/>
  <c r="E6" i="7"/>
  <c r="E8" i="7" s="1"/>
  <c r="D6" i="7"/>
  <c r="D15" i="7" s="1"/>
  <c r="C6" i="7"/>
  <c r="C9" i="7" s="1"/>
  <c r="P42" i="6"/>
  <c r="O42" i="6"/>
  <c r="N42" i="6"/>
  <c r="M42" i="6"/>
  <c r="L42" i="6"/>
  <c r="K42" i="6"/>
  <c r="J42" i="6"/>
  <c r="I42" i="6"/>
  <c r="H42" i="6"/>
  <c r="G42" i="6"/>
  <c r="F42" i="6"/>
  <c r="E42" i="6"/>
  <c r="D42" i="6"/>
  <c r="C42" i="6"/>
  <c r="P41" i="6"/>
  <c r="O41" i="6"/>
  <c r="N41" i="6"/>
  <c r="M41" i="6"/>
  <c r="L41" i="6"/>
  <c r="K41" i="6"/>
  <c r="J41" i="6"/>
  <c r="I41" i="6"/>
  <c r="H41" i="6"/>
  <c r="G41" i="6"/>
  <c r="F41" i="6"/>
  <c r="E41" i="6"/>
  <c r="D41" i="6"/>
  <c r="C41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C38" i="6"/>
  <c r="P36" i="6"/>
  <c r="O36" i="6"/>
  <c r="N36" i="6"/>
  <c r="M36" i="6"/>
  <c r="L36" i="6"/>
  <c r="K36" i="6"/>
  <c r="J36" i="6"/>
  <c r="I36" i="6"/>
  <c r="H36" i="6"/>
  <c r="G36" i="6"/>
  <c r="F36" i="6"/>
  <c r="E36" i="6"/>
  <c r="D36" i="6"/>
  <c r="C36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P17" i="6"/>
  <c r="P16" i="6"/>
  <c r="O16" i="6"/>
  <c r="H16" i="6"/>
  <c r="P15" i="6"/>
  <c r="L12" i="6"/>
  <c r="O11" i="6"/>
  <c r="N11" i="6"/>
  <c r="P10" i="6"/>
  <c r="M10" i="6"/>
  <c r="L10" i="6"/>
  <c r="K10" i="6"/>
  <c r="J10" i="6"/>
  <c r="I10" i="6"/>
  <c r="P6" i="6"/>
  <c r="P7" i="6" s="1"/>
  <c r="O6" i="6"/>
  <c r="O7" i="6" s="1"/>
  <c r="N6" i="6"/>
  <c r="N14" i="6" s="1"/>
  <c r="M6" i="6"/>
  <c r="M14" i="6" s="1"/>
  <c r="L6" i="6"/>
  <c r="L23" i="6" s="1"/>
  <c r="K6" i="6"/>
  <c r="K23" i="6" s="1"/>
  <c r="J6" i="6"/>
  <c r="J12" i="6" s="1"/>
  <c r="I6" i="6"/>
  <c r="I12" i="6" s="1"/>
  <c r="H6" i="6"/>
  <c r="H20" i="6" s="1"/>
  <c r="G6" i="6"/>
  <c r="G20" i="6" s="1"/>
  <c r="F6" i="6"/>
  <c r="F10" i="6" s="1"/>
  <c r="E6" i="6"/>
  <c r="E10" i="6" s="1"/>
  <c r="D6" i="6"/>
  <c r="D17" i="6" s="1"/>
  <c r="C6" i="6"/>
  <c r="C17" i="6" s="1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P15" i="3"/>
  <c r="N15" i="3"/>
  <c r="M15" i="3"/>
  <c r="L15" i="3"/>
  <c r="K15" i="3"/>
  <c r="J15" i="3"/>
  <c r="I15" i="3"/>
  <c r="H15" i="3"/>
  <c r="F15" i="3"/>
  <c r="E15" i="3"/>
  <c r="F13" i="3"/>
  <c r="P12" i="3"/>
  <c r="O12" i="3"/>
  <c r="P10" i="3"/>
  <c r="O10" i="3"/>
  <c r="N10" i="3"/>
  <c r="M10" i="3"/>
  <c r="L10" i="3"/>
  <c r="P6" i="3"/>
  <c r="P23" i="3" s="1"/>
  <c r="O6" i="3"/>
  <c r="O22" i="3" s="1"/>
  <c r="N6" i="3"/>
  <c r="N12" i="3" s="1"/>
  <c r="M6" i="3"/>
  <c r="M12" i="3" s="1"/>
  <c r="L6" i="3"/>
  <c r="L20" i="3" s="1"/>
  <c r="K6" i="3"/>
  <c r="K20" i="3" s="1"/>
  <c r="J6" i="3"/>
  <c r="J10" i="3" s="1"/>
  <c r="I6" i="3"/>
  <c r="I10" i="3" s="1"/>
  <c r="H6" i="3"/>
  <c r="H17" i="3" s="1"/>
  <c r="G6" i="3"/>
  <c r="G17" i="3" s="1"/>
  <c r="F6" i="3"/>
  <c r="F8" i="3" s="1"/>
  <c r="E6" i="3"/>
  <c r="E14" i="3" s="1"/>
  <c r="D6" i="3"/>
  <c r="D15" i="3" s="1"/>
  <c r="C6" i="3"/>
  <c r="C15" i="3" s="1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C42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C41" i="2"/>
  <c r="C39" i="2"/>
  <c r="C38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C36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C26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C25" i="2"/>
  <c r="D6" i="2"/>
  <c r="E6" i="2"/>
  <c r="E7" i="2" s="1"/>
  <c r="F6" i="2"/>
  <c r="G6" i="2"/>
  <c r="H6" i="2"/>
  <c r="I6" i="2"/>
  <c r="J6" i="2"/>
  <c r="K6" i="2"/>
  <c r="L6" i="2"/>
  <c r="M6" i="2"/>
  <c r="N6" i="2"/>
  <c r="O6" i="2"/>
  <c r="O17" i="2" s="1"/>
  <c r="P6" i="2"/>
  <c r="P10" i="2" s="1"/>
  <c r="C6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C22" i="2"/>
  <c r="C20" i="2"/>
  <c r="D20" i="2"/>
  <c r="E20" i="2"/>
  <c r="F20" i="2"/>
  <c r="G20" i="2"/>
  <c r="H20" i="2"/>
  <c r="I20" i="2"/>
  <c r="J20" i="2"/>
  <c r="K20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C19" i="2"/>
  <c r="C8" i="2"/>
  <c r="D8" i="2"/>
  <c r="E8" i="2"/>
  <c r="F8" i="2"/>
  <c r="G8" i="2"/>
  <c r="H8" i="2"/>
  <c r="I8" i="2"/>
  <c r="J8" i="2"/>
  <c r="K8" i="2"/>
  <c r="M8" i="2"/>
  <c r="N8" i="2"/>
  <c r="O8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C11" i="2"/>
  <c r="D11" i="2"/>
  <c r="E11" i="2"/>
  <c r="H11" i="2"/>
  <c r="I11" i="2"/>
  <c r="J11" i="2"/>
  <c r="K11" i="2"/>
  <c r="L11" i="2"/>
  <c r="M11" i="2"/>
  <c r="N11" i="2"/>
  <c r="O11" i="2"/>
  <c r="P11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C13" i="2"/>
  <c r="D13" i="2"/>
  <c r="E13" i="2"/>
  <c r="H13" i="2"/>
  <c r="I13" i="2"/>
  <c r="N13" i="2"/>
  <c r="O13" i="2"/>
  <c r="P13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C15" i="2"/>
  <c r="D15" i="2"/>
  <c r="E15" i="2"/>
  <c r="F15" i="2"/>
  <c r="G15" i="2"/>
  <c r="H15" i="2"/>
  <c r="I15" i="2"/>
  <c r="J15" i="2"/>
  <c r="K15" i="2"/>
  <c r="L15" i="2"/>
  <c r="M15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C17" i="2"/>
  <c r="D17" i="2"/>
  <c r="E17" i="2"/>
  <c r="F17" i="2"/>
  <c r="G17" i="2"/>
  <c r="H17" i="2"/>
  <c r="I17" i="2"/>
  <c r="J17" i="2"/>
  <c r="K17" i="2"/>
  <c r="L17" i="2"/>
  <c r="M17" i="2"/>
  <c r="D7" i="2"/>
  <c r="H7" i="2"/>
  <c r="I7" i="2"/>
  <c r="J7" i="2"/>
  <c r="K7" i="2"/>
  <c r="L7" i="2"/>
  <c r="M7" i="2"/>
  <c r="N7" i="2"/>
  <c r="O7" i="2"/>
  <c r="P7" i="2"/>
  <c r="C7" i="2"/>
  <c r="L15" i="10" l="1"/>
  <c r="L8" i="10"/>
  <c r="M8" i="10"/>
  <c r="N8" i="10"/>
  <c r="O8" i="10"/>
  <c r="P8" i="10"/>
  <c r="L17" i="10"/>
  <c r="N9" i="10"/>
  <c r="M17" i="10"/>
  <c r="N17" i="10"/>
  <c r="O17" i="10"/>
  <c r="L10" i="10"/>
  <c r="P19" i="10"/>
  <c r="P17" i="10"/>
  <c r="M10" i="10"/>
  <c r="K20" i="10"/>
  <c r="N10" i="10"/>
  <c r="L20" i="10"/>
  <c r="O10" i="10"/>
  <c r="M20" i="10"/>
  <c r="P10" i="10"/>
  <c r="N20" i="10"/>
  <c r="M12" i="10"/>
  <c r="O20" i="10"/>
  <c r="M15" i="10"/>
  <c r="N12" i="10"/>
  <c r="P20" i="10"/>
  <c r="N15" i="10"/>
  <c r="O12" i="10"/>
  <c r="D22" i="10"/>
  <c r="P12" i="10"/>
  <c r="L23" i="10"/>
  <c r="D13" i="10"/>
  <c r="O23" i="10"/>
  <c r="E13" i="10"/>
  <c r="P23" i="10"/>
  <c r="H8" i="10"/>
  <c r="F15" i="10"/>
  <c r="C13" i="10"/>
  <c r="G15" i="10"/>
  <c r="I13" i="10"/>
  <c r="F11" i="10"/>
  <c r="J13" i="10"/>
  <c r="D19" i="10"/>
  <c r="H22" i="10"/>
  <c r="C9" i="10"/>
  <c r="G11" i="10"/>
  <c r="K13" i="10"/>
  <c r="O15" i="10"/>
  <c r="E19" i="10"/>
  <c r="I22" i="10"/>
  <c r="D9" i="10"/>
  <c r="H11" i="10"/>
  <c r="L13" i="10"/>
  <c r="P15" i="10"/>
  <c r="F19" i="10"/>
  <c r="J22" i="10"/>
  <c r="E9" i="10"/>
  <c r="I11" i="10"/>
  <c r="M13" i="10"/>
  <c r="C16" i="10"/>
  <c r="G19" i="10"/>
  <c r="K22" i="10"/>
  <c r="C19" i="10"/>
  <c r="F9" i="10"/>
  <c r="J11" i="10"/>
  <c r="N13" i="10"/>
  <c r="D16" i="10"/>
  <c r="H19" i="10"/>
  <c r="L22" i="10"/>
  <c r="G13" i="10"/>
  <c r="G22" i="10"/>
  <c r="C7" i="10"/>
  <c r="G9" i="10"/>
  <c r="K11" i="10"/>
  <c r="O13" i="10"/>
  <c r="E16" i="10"/>
  <c r="I19" i="10"/>
  <c r="M22" i="10"/>
  <c r="D7" i="10"/>
  <c r="H9" i="10"/>
  <c r="L11" i="10"/>
  <c r="P13" i="10"/>
  <c r="F16" i="10"/>
  <c r="J19" i="10"/>
  <c r="N22" i="10"/>
  <c r="H13" i="10"/>
  <c r="E7" i="10"/>
  <c r="I9" i="10"/>
  <c r="M11" i="10"/>
  <c r="C14" i="10"/>
  <c r="G16" i="10"/>
  <c r="K19" i="10"/>
  <c r="O22" i="10"/>
  <c r="F7" i="10"/>
  <c r="J9" i="10"/>
  <c r="N11" i="10"/>
  <c r="D14" i="10"/>
  <c r="H16" i="10"/>
  <c r="L19" i="10"/>
  <c r="P22" i="10"/>
  <c r="C22" i="10"/>
  <c r="G7" i="10"/>
  <c r="K9" i="10"/>
  <c r="O11" i="10"/>
  <c r="E14" i="10"/>
  <c r="I16" i="10"/>
  <c r="M19" i="10"/>
  <c r="C23" i="10"/>
  <c r="H7" i="10"/>
  <c r="L9" i="10"/>
  <c r="P11" i="10"/>
  <c r="F14" i="10"/>
  <c r="J16" i="10"/>
  <c r="N19" i="10"/>
  <c r="D23" i="10"/>
  <c r="E22" i="10"/>
  <c r="E11" i="10"/>
  <c r="I7" i="10"/>
  <c r="M9" i="10"/>
  <c r="C12" i="10"/>
  <c r="G14" i="10"/>
  <c r="K16" i="10"/>
  <c r="O19" i="10"/>
  <c r="E23" i="10"/>
  <c r="L16" i="10"/>
  <c r="O9" i="10"/>
  <c r="C20" i="10"/>
  <c r="L7" i="10"/>
  <c r="P9" i="10"/>
  <c r="F12" i="10"/>
  <c r="J14" i="10"/>
  <c r="N16" i="10"/>
  <c r="D20" i="10"/>
  <c r="H23" i="10"/>
  <c r="F13" i="10"/>
  <c r="D11" i="10"/>
  <c r="J7" i="10"/>
  <c r="D12" i="10"/>
  <c r="H14" i="10"/>
  <c r="F23" i="10"/>
  <c r="K7" i="10"/>
  <c r="E12" i="10"/>
  <c r="I14" i="10"/>
  <c r="M16" i="10"/>
  <c r="G23" i="10"/>
  <c r="M7" i="10"/>
  <c r="C10" i="10"/>
  <c r="G12" i="10"/>
  <c r="K14" i="10"/>
  <c r="O16" i="10"/>
  <c r="E20" i="10"/>
  <c r="I23" i="10"/>
  <c r="N7" i="10"/>
  <c r="D10" i="10"/>
  <c r="H12" i="10"/>
  <c r="L14" i="10"/>
  <c r="P16" i="10"/>
  <c r="F20" i="10"/>
  <c r="J23" i="10"/>
  <c r="O7" i="10"/>
  <c r="E10" i="10"/>
  <c r="I12" i="10"/>
  <c r="M14" i="10"/>
  <c r="C17" i="10"/>
  <c r="G20" i="10"/>
  <c r="K23" i="10"/>
  <c r="C11" i="10"/>
  <c r="F22" i="10"/>
  <c r="F10" i="10"/>
  <c r="J12" i="10"/>
  <c r="D17" i="10"/>
  <c r="H20" i="10"/>
  <c r="K15" i="9"/>
  <c r="L15" i="9"/>
  <c r="N17" i="9"/>
  <c r="O17" i="9"/>
  <c r="P17" i="9"/>
  <c r="G8" i="9"/>
  <c r="M20" i="9"/>
  <c r="H8" i="9"/>
  <c r="N20" i="9"/>
  <c r="M17" i="9"/>
  <c r="K8" i="9"/>
  <c r="O20" i="9"/>
  <c r="L8" i="9"/>
  <c r="M8" i="9"/>
  <c r="E22" i="9"/>
  <c r="N8" i="9"/>
  <c r="F22" i="9"/>
  <c r="I8" i="9"/>
  <c r="C13" i="9"/>
  <c r="G15" i="9"/>
  <c r="K17" i="9"/>
  <c r="J8" i="9"/>
  <c r="D13" i="9"/>
  <c r="H15" i="9"/>
  <c r="L17" i="9"/>
  <c r="E11" i="9"/>
  <c r="I13" i="9"/>
  <c r="C19" i="9"/>
  <c r="G22" i="9"/>
  <c r="F11" i="9"/>
  <c r="J13" i="9"/>
  <c r="D19" i="9"/>
  <c r="H22" i="9"/>
  <c r="C9" i="9"/>
  <c r="G11" i="9"/>
  <c r="K13" i="9"/>
  <c r="O15" i="9"/>
  <c r="E19" i="9"/>
  <c r="I22" i="9"/>
  <c r="D9" i="9"/>
  <c r="H11" i="9"/>
  <c r="L13" i="9"/>
  <c r="P15" i="9"/>
  <c r="F19" i="9"/>
  <c r="J22" i="9"/>
  <c r="I11" i="9"/>
  <c r="M13" i="9"/>
  <c r="C16" i="9"/>
  <c r="G19" i="9"/>
  <c r="K22" i="9"/>
  <c r="D11" i="9"/>
  <c r="F9" i="9"/>
  <c r="J11" i="9"/>
  <c r="N13" i="9"/>
  <c r="D16" i="9"/>
  <c r="H19" i="9"/>
  <c r="L22" i="9"/>
  <c r="C7" i="9"/>
  <c r="G9" i="9"/>
  <c r="K11" i="9"/>
  <c r="O13" i="9"/>
  <c r="E16" i="9"/>
  <c r="I19" i="9"/>
  <c r="M22" i="9"/>
  <c r="D7" i="9"/>
  <c r="H9" i="9"/>
  <c r="L11" i="9"/>
  <c r="P13" i="9"/>
  <c r="F16" i="9"/>
  <c r="J19" i="9"/>
  <c r="N22" i="9"/>
  <c r="C22" i="9"/>
  <c r="E7" i="9"/>
  <c r="I9" i="9"/>
  <c r="M11" i="9"/>
  <c r="C14" i="9"/>
  <c r="G16" i="9"/>
  <c r="K19" i="9"/>
  <c r="O22" i="9"/>
  <c r="D14" i="9"/>
  <c r="H16" i="9"/>
  <c r="L19" i="9"/>
  <c r="P22" i="9"/>
  <c r="D22" i="9"/>
  <c r="M19" i="9"/>
  <c r="H7" i="9"/>
  <c r="L9" i="9"/>
  <c r="P11" i="9"/>
  <c r="F14" i="9"/>
  <c r="J16" i="9"/>
  <c r="N19" i="9"/>
  <c r="D23" i="9"/>
  <c r="I7" i="9"/>
  <c r="E23" i="9"/>
  <c r="J7" i="9"/>
  <c r="N9" i="9"/>
  <c r="D12" i="9"/>
  <c r="H14" i="9"/>
  <c r="L16" i="9"/>
  <c r="P19" i="9"/>
  <c r="F23" i="9"/>
  <c r="F7" i="9"/>
  <c r="G7" i="9"/>
  <c r="C23" i="9"/>
  <c r="C12" i="9"/>
  <c r="K7" i="9"/>
  <c r="O9" i="9"/>
  <c r="E12" i="9"/>
  <c r="I14" i="9"/>
  <c r="M16" i="9"/>
  <c r="C20" i="9"/>
  <c r="G23" i="9"/>
  <c r="K9" i="9"/>
  <c r="P9" i="9"/>
  <c r="F12" i="9"/>
  <c r="D20" i="9"/>
  <c r="H23" i="9"/>
  <c r="H13" i="9"/>
  <c r="E14" i="9"/>
  <c r="M7" i="9"/>
  <c r="C10" i="9"/>
  <c r="G12" i="9"/>
  <c r="K14" i="9"/>
  <c r="O16" i="9"/>
  <c r="E20" i="9"/>
  <c r="I23" i="9"/>
  <c r="I16" i="9"/>
  <c r="L7" i="9"/>
  <c r="N7" i="9"/>
  <c r="D10" i="9"/>
  <c r="H12" i="9"/>
  <c r="L14" i="9"/>
  <c r="P16" i="9"/>
  <c r="F20" i="9"/>
  <c r="J23" i="9"/>
  <c r="G14" i="9"/>
  <c r="J14" i="9"/>
  <c r="O7" i="9"/>
  <c r="E10" i="9"/>
  <c r="I12" i="9"/>
  <c r="M14" i="9"/>
  <c r="C17" i="9"/>
  <c r="G20" i="9"/>
  <c r="K23" i="9"/>
  <c r="G13" i="9"/>
  <c r="E9" i="9"/>
  <c r="N11" i="9"/>
  <c r="K16" i="9"/>
  <c r="N16" i="9"/>
  <c r="P7" i="9"/>
  <c r="F10" i="9"/>
  <c r="J12" i="9"/>
  <c r="N14" i="9"/>
  <c r="D17" i="9"/>
  <c r="H20" i="9"/>
  <c r="L23" i="9"/>
  <c r="M9" i="9"/>
  <c r="K12" i="9"/>
  <c r="E17" i="9"/>
  <c r="I20" i="9"/>
  <c r="M23" i="9"/>
  <c r="J9" i="9"/>
  <c r="C8" i="9"/>
  <c r="G10" i="9"/>
  <c r="O14" i="9"/>
  <c r="D8" i="9"/>
  <c r="H10" i="9"/>
  <c r="L12" i="9"/>
  <c r="P14" i="9"/>
  <c r="F17" i="9"/>
  <c r="J20" i="9"/>
  <c r="N23" i="9"/>
  <c r="O11" i="9"/>
  <c r="C15" i="9"/>
  <c r="O23" i="9"/>
  <c r="H15" i="7"/>
  <c r="I15" i="7"/>
  <c r="M15" i="7"/>
  <c r="I17" i="7"/>
  <c r="K17" i="7"/>
  <c r="L17" i="7"/>
  <c r="G8" i="7"/>
  <c r="M17" i="7"/>
  <c r="H8" i="7"/>
  <c r="N17" i="7"/>
  <c r="I8" i="7"/>
  <c r="O17" i="7"/>
  <c r="J8" i="7"/>
  <c r="P17" i="7"/>
  <c r="K8" i="7"/>
  <c r="M20" i="7"/>
  <c r="M8" i="7"/>
  <c r="N20" i="7"/>
  <c r="N8" i="7"/>
  <c r="O20" i="7"/>
  <c r="O8" i="7"/>
  <c r="P20" i="7"/>
  <c r="P8" i="7"/>
  <c r="H22" i="7"/>
  <c r="E15" i="7"/>
  <c r="L10" i="7"/>
  <c r="F15" i="7"/>
  <c r="J17" i="7"/>
  <c r="L8" i="7"/>
  <c r="F13" i="7"/>
  <c r="J15" i="7"/>
  <c r="D22" i="7"/>
  <c r="D11" i="7"/>
  <c r="H13" i="7"/>
  <c r="L15" i="7"/>
  <c r="F22" i="7"/>
  <c r="K13" i="7"/>
  <c r="D9" i="7"/>
  <c r="H11" i="7"/>
  <c r="L13" i="7"/>
  <c r="F19" i="7"/>
  <c r="J22" i="7"/>
  <c r="E9" i="7"/>
  <c r="I11" i="7"/>
  <c r="M13" i="7"/>
  <c r="C16" i="7"/>
  <c r="G19" i="7"/>
  <c r="K22" i="7"/>
  <c r="G11" i="7"/>
  <c r="F9" i="7"/>
  <c r="J11" i="7"/>
  <c r="N13" i="7"/>
  <c r="D16" i="7"/>
  <c r="H19" i="7"/>
  <c r="L22" i="7"/>
  <c r="I13" i="7"/>
  <c r="C7" i="7"/>
  <c r="G9" i="7"/>
  <c r="K11" i="7"/>
  <c r="O13" i="7"/>
  <c r="E16" i="7"/>
  <c r="I19" i="7"/>
  <c r="M22" i="7"/>
  <c r="D7" i="7"/>
  <c r="H9" i="7"/>
  <c r="L11" i="7"/>
  <c r="F16" i="7"/>
  <c r="J19" i="7"/>
  <c r="N22" i="7"/>
  <c r="K19" i="7"/>
  <c r="O22" i="7"/>
  <c r="F7" i="7"/>
  <c r="J9" i="7"/>
  <c r="N11" i="7"/>
  <c r="D14" i="7"/>
  <c r="H16" i="7"/>
  <c r="L19" i="7"/>
  <c r="P22" i="7"/>
  <c r="C11" i="7"/>
  <c r="G7" i="7"/>
  <c r="K9" i="7"/>
  <c r="O11" i="7"/>
  <c r="E14" i="7"/>
  <c r="I16" i="7"/>
  <c r="M19" i="7"/>
  <c r="C23" i="7"/>
  <c r="H7" i="7"/>
  <c r="E22" i="7"/>
  <c r="F11" i="7"/>
  <c r="M9" i="7"/>
  <c r="E11" i="7"/>
  <c r="E19" i="7"/>
  <c r="N19" i="7"/>
  <c r="I7" i="7"/>
  <c r="J7" i="7"/>
  <c r="N9" i="7"/>
  <c r="D12" i="7"/>
  <c r="H14" i="7"/>
  <c r="L16" i="7"/>
  <c r="P19" i="7"/>
  <c r="F23" i="7"/>
  <c r="C14" i="7"/>
  <c r="I14" i="7"/>
  <c r="G23" i="7"/>
  <c r="C19" i="7"/>
  <c r="L9" i="7"/>
  <c r="L7" i="7"/>
  <c r="P9" i="7"/>
  <c r="F12" i="7"/>
  <c r="J14" i="7"/>
  <c r="N16" i="7"/>
  <c r="D20" i="7"/>
  <c r="H23" i="7"/>
  <c r="G16" i="7"/>
  <c r="C10" i="7"/>
  <c r="G12" i="7"/>
  <c r="K14" i="7"/>
  <c r="O16" i="7"/>
  <c r="E20" i="7"/>
  <c r="I23" i="7"/>
  <c r="K16" i="7"/>
  <c r="M16" i="7"/>
  <c r="N7" i="7"/>
  <c r="D10" i="7"/>
  <c r="H12" i="7"/>
  <c r="L14" i="7"/>
  <c r="P16" i="7"/>
  <c r="F20" i="7"/>
  <c r="J23" i="7"/>
  <c r="G13" i="7"/>
  <c r="D23" i="7"/>
  <c r="O19" i="7"/>
  <c r="M7" i="7"/>
  <c r="O7" i="7"/>
  <c r="E10" i="7"/>
  <c r="I12" i="7"/>
  <c r="M14" i="7"/>
  <c r="C17" i="7"/>
  <c r="G20" i="7"/>
  <c r="K23" i="7"/>
  <c r="C22" i="7"/>
  <c r="I22" i="7"/>
  <c r="M11" i="7"/>
  <c r="C20" i="7"/>
  <c r="P7" i="7"/>
  <c r="F10" i="7"/>
  <c r="J12" i="7"/>
  <c r="N14" i="7"/>
  <c r="D17" i="7"/>
  <c r="H20" i="7"/>
  <c r="L23" i="7"/>
  <c r="G22" i="7"/>
  <c r="D19" i="7"/>
  <c r="E23" i="7"/>
  <c r="O9" i="7"/>
  <c r="C8" i="7"/>
  <c r="G10" i="7"/>
  <c r="K12" i="7"/>
  <c r="O14" i="7"/>
  <c r="E17" i="7"/>
  <c r="I20" i="7"/>
  <c r="M23" i="7"/>
  <c r="I9" i="7"/>
  <c r="J16" i="7"/>
  <c r="G14" i="7"/>
  <c r="E12" i="7"/>
  <c r="D8" i="7"/>
  <c r="H10" i="7"/>
  <c r="L12" i="7"/>
  <c r="P14" i="7"/>
  <c r="F17" i="7"/>
  <c r="J20" i="7"/>
  <c r="N23" i="7"/>
  <c r="E13" i="7"/>
  <c r="E7" i="7"/>
  <c r="F14" i="7"/>
  <c r="C12" i="7"/>
  <c r="K7" i="7"/>
  <c r="C15" i="7"/>
  <c r="G12" i="6"/>
  <c r="K17" i="6"/>
  <c r="K12" i="6"/>
  <c r="O17" i="6"/>
  <c r="M12" i="6"/>
  <c r="F19" i="6"/>
  <c r="N12" i="6"/>
  <c r="M19" i="6"/>
  <c r="F7" i="6"/>
  <c r="O12" i="6"/>
  <c r="E20" i="6"/>
  <c r="F20" i="6"/>
  <c r="C8" i="6"/>
  <c r="G13" i="6"/>
  <c r="J20" i="6"/>
  <c r="D8" i="6"/>
  <c r="J13" i="6"/>
  <c r="K20" i="6"/>
  <c r="M13" i="6"/>
  <c r="E17" i="6"/>
  <c r="G17" i="6"/>
  <c r="I17" i="6"/>
  <c r="F8" i="6"/>
  <c r="K14" i="6"/>
  <c r="M20" i="6"/>
  <c r="P12" i="6"/>
  <c r="O14" i="6"/>
  <c r="N20" i="6"/>
  <c r="L20" i="6"/>
  <c r="H8" i="6"/>
  <c r="P14" i="6"/>
  <c r="O20" i="6"/>
  <c r="H17" i="6"/>
  <c r="I20" i="6"/>
  <c r="C15" i="6"/>
  <c r="F17" i="6"/>
  <c r="F12" i="6"/>
  <c r="G7" i="6"/>
  <c r="E8" i="6"/>
  <c r="I8" i="6"/>
  <c r="M8" i="6"/>
  <c r="D15" i="6"/>
  <c r="J22" i="6"/>
  <c r="F13" i="6"/>
  <c r="G8" i="6"/>
  <c r="H22" i="6"/>
  <c r="P8" i="6"/>
  <c r="E15" i="6"/>
  <c r="P22" i="6"/>
  <c r="F15" i="6"/>
  <c r="I23" i="6"/>
  <c r="F11" i="6"/>
  <c r="M7" i="6"/>
  <c r="K9" i="6"/>
  <c r="G15" i="6"/>
  <c r="M23" i="6"/>
  <c r="P9" i="6"/>
  <c r="N23" i="6"/>
  <c r="J17" i="6"/>
  <c r="J9" i="6"/>
  <c r="G10" i="6"/>
  <c r="M15" i="6"/>
  <c r="O23" i="6"/>
  <c r="K15" i="6"/>
  <c r="H10" i="6"/>
  <c r="N15" i="6"/>
  <c r="P23" i="6"/>
  <c r="C13" i="6"/>
  <c r="J8" i="6"/>
  <c r="N10" i="6"/>
  <c r="D13" i="6"/>
  <c r="H15" i="6"/>
  <c r="L17" i="6"/>
  <c r="P20" i="6"/>
  <c r="K8" i="6"/>
  <c r="O10" i="6"/>
  <c r="E13" i="6"/>
  <c r="I15" i="6"/>
  <c r="M17" i="6"/>
  <c r="C22" i="6"/>
  <c r="L8" i="6"/>
  <c r="J15" i="6"/>
  <c r="N17" i="6"/>
  <c r="D22" i="6"/>
  <c r="C11" i="6"/>
  <c r="E22" i="6"/>
  <c r="N8" i="6"/>
  <c r="D11" i="6"/>
  <c r="H13" i="6"/>
  <c r="F22" i="6"/>
  <c r="L15" i="6"/>
  <c r="O8" i="6"/>
  <c r="E11" i="6"/>
  <c r="I13" i="6"/>
  <c r="C19" i="6"/>
  <c r="G22" i="6"/>
  <c r="C9" i="6"/>
  <c r="G11" i="6"/>
  <c r="K13" i="6"/>
  <c r="O15" i="6"/>
  <c r="E19" i="6"/>
  <c r="I22" i="6"/>
  <c r="H11" i="6"/>
  <c r="E9" i="6"/>
  <c r="I11" i="6"/>
  <c r="C16" i="6"/>
  <c r="G19" i="6"/>
  <c r="K22" i="6"/>
  <c r="F9" i="6"/>
  <c r="H19" i="6"/>
  <c r="D19" i="6"/>
  <c r="D9" i="6"/>
  <c r="C7" i="6"/>
  <c r="G9" i="6"/>
  <c r="K11" i="6"/>
  <c r="E16" i="6"/>
  <c r="I19" i="6"/>
  <c r="M22" i="6"/>
  <c r="J11" i="6"/>
  <c r="N13" i="6"/>
  <c r="D16" i="6"/>
  <c r="L22" i="6"/>
  <c r="O13" i="6"/>
  <c r="D7" i="6"/>
  <c r="H9" i="6"/>
  <c r="L11" i="6"/>
  <c r="P13" i="6"/>
  <c r="F16" i="6"/>
  <c r="J19" i="6"/>
  <c r="N22" i="6"/>
  <c r="L13" i="6"/>
  <c r="E7" i="6"/>
  <c r="I9" i="6"/>
  <c r="M11" i="6"/>
  <c r="C14" i="6"/>
  <c r="G16" i="6"/>
  <c r="K19" i="6"/>
  <c r="O22" i="6"/>
  <c r="L19" i="6"/>
  <c r="E14" i="6"/>
  <c r="I16" i="6"/>
  <c r="C23" i="6"/>
  <c r="H7" i="6"/>
  <c r="L9" i="6"/>
  <c r="P11" i="6"/>
  <c r="F14" i="6"/>
  <c r="J16" i="6"/>
  <c r="N19" i="6"/>
  <c r="D23" i="6"/>
  <c r="I7" i="6"/>
  <c r="M9" i="6"/>
  <c r="C12" i="6"/>
  <c r="G14" i="6"/>
  <c r="K16" i="6"/>
  <c r="O19" i="6"/>
  <c r="E23" i="6"/>
  <c r="J7" i="6"/>
  <c r="N9" i="6"/>
  <c r="D12" i="6"/>
  <c r="H14" i="6"/>
  <c r="L16" i="6"/>
  <c r="P19" i="6"/>
  <c r="F23" i="6"/>
  <c r="K7" i="6"/>
  <c r="O9" i="6"/>
  <c r="E12" i="6"/>
  <c r="I14" i="6"/>
  <c r="M16" i="6"/>
  <c r="C20" i="6"/>
  <c r="G23" i="6"/>
  <c r="D14" i="6"/>
  <c r="L7" i="6"/>
  <c r="J14" i="6"/>
  <c r="N16" i="6"/>
  <c r="D20" i="6"/>
  <c r="H23" i="6"/>
  <c r="C10" i="6"/>
  <c r="N7" i="6"/>
  <c r="D10" i="6"/>
  <c r="H12" i="6"/>
  <c r="L14" i="6"/>
  <c r="J23" i="6"/>
  <c r="G15" i="3"/>
  <c r="O15" i="3"/>
  <c r="K17" i="3"/>
  <c r="J17" i="3"/>
  <c r="L17" i="3"/>
  <c r="M17" i="3"/>
  <c r="K8" i="3"/>
  <c r="N17" i="3"/>
  <c r="H8" i="3"/>
  <c r="O17" i="3"/>
  <c r="M8" i="3"/>
  <c r="P17" i="3"/>
  <c r="L8" i="3"/>
  <c r="N8" i="3"/>
  <c r="M20" i="3"/>
  <c r="I17" i="3"/>
  <c r="N20" i="3"/>
  <c r="O8" i="3"/>
  <c r="P8" i="3"/>
  <c r="O20" i="3"/>
  <c r="G8" i="3"/>
  <c r="I8" i="3"/>
  <c r="J8" i="3"/>
  <c r="K10" i="3"/>
  <c r="P20" i="3"/>
  <c r="C19" i="3"/>
  <c r="M13" i="3"/>
  <c r="C16" i="3"/>
  <c r="G19" i="3"/>
  <c r="K22" i="3"/>
  <c r="H13" i="3"/>
  <c r="G22" i="3"/>
  <c r="D22" i="3"/>
  <c r="H22" i="3"/>
  <c r="I22" i="3"/>
  <c r="J22" i="3"/>
  <c r="D16" i="3"/>
  <c r="D7" i="3"/>
  <c r="P13" i="3"/>
  <c r="F16" i="3"/>
  <c r="J19" i="3"/>
  <c r="N22" i="3"/>
  <c r="I11" i="3"/>
  <c r="I13" i="3"/>
  <c r="G11" i="3"/>
  <c r="E9" i="3"/>
  <c r="I19" i="3"/>
  <c r="J9" i="3"/>
  <c r="H16" i="3"/>
  <c r="L19" i="3"/>
  <c r="P22" i="3"/>
  <c r="G7" i="3"/>
  <c r="C9" i="3"/>
  <c r="H19" i="3"/>
  <c r="P11" i="3"/>
  <c r="N19" i="3"/>
  <c r="D23" i="3"/>
  <c r="C11" i="3"/>
  <c r="H9" i="3"/>
  <c r="E23" i="3"/>
  <c r="L22" i="3"/>
  <c r="L11" i="3"/>
  <c r="P19" i="3"/>
  <c r="C22" i="3"/>
  <c r="J16" i="3"/>
  <c r="J7" i="3"/>
  <c r="K7" i="3"/>
  <c r="E12" i="3"/>
  <c r="I14" i="3"/>
  <c r="M16" i="3"/>
  <c r="C20" i="3"/>
  <c r="G23" i="3"/>
  <c r="G13" i="3"/>
  <c r="E11" i="3"/>
  <c r="F9" i="3"/>
  <c r="C14" i="3"/>
  <c r="C12" i="3"/>
  <c r="L7" i="3"/>
  <c r="J14" i="3"/>
  <c r="H23" i="3"/>
  <c r="F22" i="3"/>
  <c r="F19" i="3"/>
  <c r="N13" i="3"/>
  <c r="E16" i="3"/>
  <c r="G16" i="3"/>
  <c r="D14" i="3"/>
  <c r="C23" i="3"/>
  <c r="F14" i="3"/>
  <c r="K16" i="3"/>
  <c r="N9" i="3"/>
  <c r="H14" i="3"/>
  <c r="L16" i="3"/>
  <c r="F23" i="3"/>
  <c r="O9" i="3"/>
  <c r="P9" i="3"/>
  <c r="F12" i="3"/>
  <c r="N16" i="3"/>
  <c r="D20" i="3"/>
  <c r="M7" i="3"/>
  <c r="C10" i="3"/>
  <c r="G12" i="3"/>
  <c r="K14" i="3"/>
  <c r="O16" i="3"/>
  <c r="E20" i="3"/>
  <c r="I23" i="3"/>
  <c r="E22" i="3"/>
  <c r="O13" i="3"/>
  <c r="I9" i="3"/>
  <c r="I16" i="3"/>
  <c r="N7" i="3"/>
  <c r="J23" i="3"/>
  <c r="J13" i="3"/>
  <c r="D9" i="3"/>
  <c r="C7" i="3"/>
  <c r="H7" i="3"/>
  <c r="E10" i="3"/>
  <c r="C17" i="3"/>
  <c r="K23" i="3"/>
  <c r="D19" i="3"/>
  <c r="J11" i="3"/>
  <c r="K11" i="3"/>
  <c r="K19" i="3"/>
  <c r="N11" i="3"/>
  <c r="M19" i="3"/>
  <c r="I7" i="3"/>
  <c r="D12" i="3"/>
  <c r="D10" i="3"/>
  <c r="H12" i="3"/>
  <c r="L14" i="3"/>
  <c r="P16" i="3"/>
  <c r="F20" i="3"/>
  <c r="O7" i="3"/>
  <c r="I12" i="3"/>
  <c r="M14" i="3"/>
  <c r="G20" i="3"/>
  <c r="P7" i="3"/>
  <c r="F10" i="3"/>
  <c r="J12" i="3"/>
  <c r="N14" i="3"/>
  <c r="D17" i="3"/>
  <c r="H20" i="3"/>
  <c r="L23" i="3"/>
  <c r="C13" i="3"/>
  <c r="E13" i="3"/>
  <c r="F11" i="3"/>
  <c r="K13" i="3"/>
  <c r="H11" i="3"/>
  <c r="G9" i="3"/>
  <c r="F7" i="3"/>
  <c r="K9" i="3"/>
  <c r="L9" i="3"/>
  <c r="O19" i="3"/>
  <c r="C8" i="3"/>
  <c r="G10" i="3"/>
  <c r="K12" i="3"/>
  <c r="O14" i="3"/>
  <c r="E17" i="3"/>
  <c r="I20" i="3"/>
  <c r="M23" i="3"/>
  <c r="M11" i="3"/>
  <c r="O11" i="3"/>
  <c r="M9" i="3"/>
  <c r="D8" i="3"/>
  <c r="H10" i="3"/>
  <c r="L12" i="3"/>
  <c r="P14" i="3"/>
  <c r="F17" i="3"/>
  <c r="J20" i="3"/>
  <c r="N23" i="3"/>
  <c r="D13" i="3"/>
  <c r="D11" i="3"/>
  <c r="L13" i="3"/>
  <c r="M22" i="3"/>
  <c r="E7" i="3"/>
  <c r="G14" i="3"/>
  <c r="E8" i="3"/>
  <c r="O23" i="3"/>
  <c r="E19" i="3"/>
  <c r="G7" i="2"/>
  <c r="P15" i="2"/>
  <c r="L13" i="2"/>
  <c r="N20" i="2"/>
  <c r="M20" i="2"/>
  <c r="P20" i="2"/>
  <c r="M13" i="2"/>
  <c r="O20" i="2"/>
  <c r="F7" i="2"/>
  <c r="O15" i="2"/>
  <c r="K13" i="2"/>
  <c r="G11" i="2"/>
  <c r="N15" i="2"/>
  <c r="J13" i="2"/>
  <c r="F11" i="2"/>
  <c r="P8" i="2"/>
  <c r="L20" i="2"/>
  <c r="P17" i="2"/>
  <c r="G13" i="2"/>
  <c r="N17" i="2"/>
  <c r="F13" i="2"/>
  <c r="L8" i="2"/>
</calcChain>
</file>

<file path=xl/sharedStrings.xml><?xml version="1.0" encoding="utf-8"?>
<sst xmlns="http://schemas.openxmlformats.org/spreadsheetml/2006/main" count="752" uniqueCount="109">
  <si>
    <t>Table 1 Characteristics of realized volatility</t>
  </si>
  <si>
    <t>Mean</t>
  </si>
  <si>
    <t>SD</t>
  </si>
  <si>
    <t>SK</t>
  </si>
  <si>
    <t>KU</t>
  </si>
  <si>
    <t>Australia</t>
  </si>
  <si>
    <t>UK</t>
  </si>
  <si>
    <t>Germany</t>
  </si>
  <si>
    <t>Canada</t>
  </si>
  <si>
    <t>US (Nasdaq)</t>
  </si>
  <si>
    <t>Japan</t>
  </si>
  <si>
    <t>US (SP 500)</t>
  </si>
  <si>
    <t>Europe</t>
  </si>
  <si>
    <t>India</t>
  </si>
  <si>
    <t>France</t>
  </si>
  <si>
    <t>Hong Kong</t>
  </si>
  <si>
    <t>South Korea</t>
  </si>
  <si>
    <t>China</t>
  </si>
  <si>
    <t>Swiss</t>
  </si>
  <si>
    <t>ρ(1)</t>
  </si>
  <si>
    <t>ρ(5)</t>
  </si>
  <si>
    <t>ρ(22)</t>
  </si>
  <si>
    <t>Panel A: Returns</t>
  </si>
  <si>
    <t>Panel C: Jump component</t>
  </si>
  <si>
    <t>Panel D: Signed jump</t>
  </si>
  <si>
    <t>Panel E: Negative semi-variance</t>
  </si>
  <si>
    <t>Panel F: Positive semi-variance</t>
  </si>
  <si>
    <t>Panel B: Continuous component</t>
  </si>
  <si>
    <t>Table A1 Characteristics of daily returns and realized volatility components</t>
  </si>
  <si>
    <t>AR</t>
  </si>
  <si>
    <t>HAR</t>
  </si>
  <si>
    <t>HARSV</t>
  </si>
  <si>
    <t>HARCJ</t>
  </si>
  <si>
    <t>HARSJ</t>
  </si>
  <si>
    <t>AUS</t>
  </si>
  <si>
    <t>IND</t>
  </si>
  <si>
    <t>FRA</t>
  </si>
  <si>
    <t>GBR</t>
  </si>
  <si>
    <t>DEU</t>
  </si>
  <si>
    <t>CAN</t>
  </si>
  <si>
    <t>HKG</t>
  </si>
  <si>
    <t>USA-1</t>
  </si>
  <si>
    <t>KOR</t>
  </si>
  <si>
    <t>JPN</t>
  </si>
  <si>
    <t>CHN</t>
  </si>
  <si>
    <t>CHE</t>
  </si>
  <si>
    <t>USA-2</t>
  </si>
  <si>
    <t>EUR</t>
  </si>
  <si>
    <t>GARCH</t>
  </si>
  <si>
    <t>start</t>
  </si>
  <si>
    <t>"2000-01-04"</t>
  </si>
  <si>
    <t>"2021-07-28"</t>
  </si>
  <si>
    <t>"2000-01-03"</t>
  </si>
  <si>
    <t>"2002-05-02"</t>
  </si>
  <si>
    <t>"2000-02-02"</t>
  </si>
  <si>
    <r>
      <t xml:space="preserve">Notes: Volatility characteristics are reported from annualized values. SD denotes standard devaiation, SK skewness, KU kurtosis and </t>
    </r>
    <r>
      <rPr>
        <sz val="10"/>
        <color theme="1"/>
        <rFont val="Aptos Narrow"/>
        <family val="2"/>
      </rPr>
      <t>ρ</t>
    </r>
    <r>
      <rPr>
        <sz val="10"/>
        <color theme="1"/>
        <rFont val="Calibri"/>
        <family val="2"/>
      </rPr>
      <t>(.) denotes auto-correlation of the given order. The market indices are All Ordinaries (Australia)</t>
    </r>
    <r>
      <rPr>
        <sz val="10"/>
        <color theme="1"/>
        <rFont val="Calibri"/>
        <family val="2"/>
        <scheme val="minor"/>
      </rPr>
      <t>, BSE Sensex (India), CAC 40 (France), FTSE 225 (UK), DAX 30 (Germany), TSX Composite (Canada), Hang Seng (Hong Kong), KOSPI (South Korea), Nikkei 225 (Japan), S&amp;P 500 (US), Shanghai Stock Exchange Composite Index (China), Swiss Market Index (Swiss), Stoxx 50 (Europe). Data for all markets end on 28th July 2021.</t>
    </r>
  </si>
  <si>
    <t>obs.</t>
  </si>
  <si>
    <t>RV-FTS</t>
  </si>
  <si>
    <t>FR-GARCH</t>
  </si>
  <si>
    <t>CC-Bench</t>
  </si>
  <si>
    <t>CC-FTS</t>
  </si>
  <si>
    <t>HAR [MSE]</t>
  </si>
  <si>
    <t>.AORD</t>
  </si>
  <si>
    <t>.BSESN</t>
  </si>
  <si>
    <t>.FCHI</t>
  </si>
  <si>
    <t>.FTSE</t>
  </si>
  <si>
    <t>.GDAXI</t>
  </si>
  <si>
    <t>.GSPTSE</t>
  </si>
  <si>
    <t>.HSI</t>
  </si>
  <si>
    <t>.IXIC</t>
  </si>
  <si>
    <t>.KS11</t>
  </si>
  <si>
    <t>.N225</t>
  </si>
  <si>
    <t>.SPX</t>
  </si>
  <si>
    <t>.SSEC</t>
  </si>
  <si>
    <t>.SSMI</t>
  </si>
  <si>
    <t>.STOXX50E</t>
  </si>
  <si>
    <t>sGARCH</t>
  </si>
  <si>
    <t>FR_sGARCH</t>
  </si>
  <si>
    <t>EW1</t>
  </si>
  <si>
    <t>EW2</t>
  </si>
  <si>
    <t>FTS_VH</t>
  </si>
  <si>
    <t>FTSS_VH</t>
  </si>
  <si>
    <t>HFT2</t>
  </si>
  <si>
    <t>RF3</t>
  </si>
  <si>
    <t>RF4</t>
  </si>
  <si>
    <t>CR0</t>
  </si>
  <si>
    <t>CR1</t>
  </si>
  <si>
    <t>Panel A: Loss comparison with individual volatility models relative to the HAR model</t>
  </si>
  <si>
    <t>HAR-FTS</t>
  </si>
  <si>
    <t>RV-FTS opt.</t>
  </si>
  <si>
    <t>Panel C: Loss comparison with combination volatility models relative to the HAR model</t>
  </si>
  <si>
    <t>RV-RF</t>
  </si>
  <si>
    <t>RV-RF-FTS</t>
  </si>
  <si>
    <t>Panel B: Loss comparison with combined models relative to the HAR model</t>
  </si>
  <si>
    <t>RV-EW opt.</t>
  </si>
  <si>
    <t>RV-EW</t>
  </si>
  <si>
    <t>RV-EW opt</t>
  </si>
  <si>
    <t>RV-FTS opt</t>
  </si>
  <si>
    <t>Panel D: Average ranking comparison with individual volatility models relative to the HAR model</t>
  </si>
  <si>
    <t>Panel E: Average ranking comparison with combined models relative to the HAR model</t>
  </si>
  <si>
    <t>Panel F: Average ranking comparison with combination volatility models relative to the HAR model</t>
  </si>
  <si>
    <t>Notes: The values for row HAR in Panel A correspond to the MSE. Values from remaining rows of Panel A to Panel C are relative mean square errors (RMSE) comparisons against the benchmark HAR model. Numbers below 1 indicate improvement against the benchmark. In Panels D to F we report average rank (preference) of a model. USA-1 corresponds to S&amp;P 500 market index and USA-2 to the NASDAQ 100 index.</t>
  </si>
  <si>
    <t>Table 2 Day-ahead forecasts under MSE</t>
  </si>
  <si>
    <t>Table 3 Day-ahead forecasts under QLIKE</t>
  </si>
  <si>
    <t>Notes: The values for row HAR in Panel A correspond to the QLIKE. Values from remaining rows of Panel A to Panel C are relative QLIKE comparisons against the benchmark HAR model. Numbers below 1 indicate improvement against the benchmark. In Panels D to F we report average rank (preference) of a model. USA-1 corresponds to S&amp;P 500 market index and USA-2 to the NASDAQ 100 index.</t>
  </si>
  <si>
    <t>Table A2 Five day-ahead forecasts under MSE</t>
  </si>
  <si>
    <t>Table A3 Five day-ahead forecasts under QLIKE</t>
  </si>
  <si>
    <t>Table A4 Twenty-two day-ahead forecasts under MSE</t>
  </si>
  <si>
    <t>Table A5 Twenty-two day-ahead forecasts under QLIKE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</si>
</sst>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yyyy\-mm\-dd;@"/>
    <numFmt numFmtId="166" formatCode="0.0%"/>
    <numFmt numFmtId="167" formatCode="0.000"/>
  </numFmts>
  <fonts count="8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ptos Narrow"/>
      <family val="2"/>
    </font>
    <font>
      <sz val="10"/>
      <color theme="1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9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165" fontId="0" fillId="0" borderId="0" xfId="0" applyNumberFormat="1"/>
    <xf numFmtId="165" fontId="0" fillId="0" borderId="2" xfId="0" applyNumberFormat="1" applyBorder="1"/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6" fontId="0" fillId="0" borderId="0" xfId="1" applyNumberFormat="1" applyFont="1" applyAlignment="1">
      <alignment horizontal="left"/>
    </xf>
    <xf numFmtId="0" fontId="0" fillId="0" borderId="0" xfId="0" applyAlignment="1">
      <alignment horizontal="left"/>
    </xf>
    <xf numFmtId="166" fontId="0" fillId="0" borderId="0" xfId="1" applyNumberFormat="1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4" fontId="0" fillId="0" borderId="0" xfId="1" applyNumberFormat="1" applyFont="1" applyAlignment="1">
      <alignment horizontal="center"/>
    </xf>
    <xf numFmtId="0" fontId="6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166" fontId="7" fillId="0" borderId="0" xfId="1" applyNumberFormat="1" applyFont="1" applyAlignment="1">
      <alignment horizontal="center"/>
    </xf>
    <xf numFmtId="166" fontId="0" fillId="0" borderId="0" xfId="1" applyNumberFormat="1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2" fontId="0" fillId="0" borderId="0" xfId="1" applyNumberFormat="1" applyFont="1" applyAlignment="1">
      <alignment horizontal="center"/>
    </xf>
    <xf numFmtId="2" fontId="0" fillId="0" borderId="0" xfId="1" applyNumberFormat="1" applyFont="1" applyBorder="1" applyAlignment="1">
      <alignment horizontal="center"/>
    </xf>
    <xf numFmtId="2" fontId="0" fillId="0" borderId="1" xfId="1" applyNumberFormat="1" applyFont="1" applyBorder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6" fontId="0" fillId="0" borderId="0" xfId="1" applyNumberFormat="1" applyFont="1" applyBorder="1" applyAlignment="1">
      <alignment vertical="center" wrapText="1"/>
    </xf>
    <xf numFmtId="167" fontId="0" fillId="0" borderId="0" xfId="0" applyNumberFormat="1" applyAlignment="1">
      <alignment horizontal="center"/>
    </xf>
    <xf numFmtId="167" fontId="0" fillId="0" borderId="0" xfId="0" applyNumberFormat="1"/>
    <xf numFmtId="167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166" fontId="6" fillId="0" borderId="4" xfId="1" applyNumberFormat="1" applyFont="1" applyBorder="1" applyAlignment="1">
      <alignment horizontal="left" vertical="center" wrapText="1"/>
    </xf>
    <xf numFmtId="166" fontId="6" fillId="0" borderId="0" xfId="1" applyNumberFormat="1" applyFont="1" applyBorder="1" applyAlignment="1">
      <alignment horizontal="left" vertical="center" wrapText="1"/>
    </xf>
    <xf numFmtId="0" fontId="6" fillId="0" borderId="0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26"/>
  <sheetViews>
    <sheetView zoomScale="145" zoomScaleNormal="145" workbookViewId="0">
      <selection activeCell="O4" sqref="O4"/>
    </sheetView>
  </sheetViews>
  <sheetFormatPr defaultRowHeight="15"/>
  <cols>
    <col min="2" max="2" width="11" bestFit="1" customWidth="1"/>
    <col min="3" max="3" width="5.85546875" bestFit="1" customWidth="1"/>
    <col min="4" max="5" width="6.85546875" bestFit="1" customWidth="1"/>
    <col min="6" max="9" width="4.85546875" bestFit="1" customWidth="1"/>
    <col min="10" max="10" width="5.28515625" bestFit="1" customWidth="1"/>
    <col min="11" max="11" width="10.7109375" bestFit="1" customWidth="1"/>
  </cols>
  <sheetData>
    <row r="3" spans="2:14">
      <c r="B3" s="41" t="s">
        <v>0</v>
      </c>
      <c r="C3" s="41"/>
      <c r="D3" s="41"/>
      <c r="E3" s="41"/>
      <c r="F3" s="41"/>
      <c r="G3" s="41"/>
      <c r="H3" s="41"/>
      <c r="I3" s="41"/>
      <c r="J3" s="41"/>
    </row>
    <row r="5" spans="2:14">
      <c r="B5" s="1"/>
      <c r="C5" s="8" t="s">
        <v>1</v>
      </c>
      <c r="D5" s="8" t="s">
        <v>2</v>
      </c>
      <c r="E5" s="8" t="s">
        <v>3</v>
      </c>
      <c r="F5" s="8" t="s">
        <v>4</v>
      </c>
      <c r="G5" s="8" t="s">
        <v>19</v>
      </c>
      <c r="H5" s="8" t="s">
        <v>20</v>
      </c>
      <c r="I5" s="8" t="s">
        <v>21</v>
      </c>
      <c r="J5" s="8" t="s">
        <v>56</v>
      </c>
      <c r="K5" s="8" t="s">
        <v>49</v>
      </c>
    </row>
    <row r="6" spans="2:14">
      <c r="B6" t="s">
        <v>5</v>
      </c>
      <c r="C6" s="6">
        <v>148.6</v>
      </c>
      <c r="D6" s="6">
        <v>393.2</v>
      </c>
      <c r="E6" s="6">
        <v>392.1</v>
      </c>
      <c r="F6" s="6">
        <v>16.2</v>
      </c>
      <c r="G6" s="6">
        <v>0.64</v>
      </c>
      <c r="H6" s="6">
        <v>0.36</v>
      </c>
      <c r="I6" s="6">
        <v>0.16</v>
      </c>
      <c r="J6" s="6">
        <v>5446</v>
      </c>
      <c r="K6" s="13">
        <v>36529</v>
      </c>
      <c r="M6" t="s">
        <v>50</v>
      </c>
      <c r="N6" t="s">
        <v>51</v>
      </c>
    </row>
    <row r="7" spans="2:14">
      <c r="B7" t="s">
        <v>13</v>
      </c>
      <c r="C7" s="6">
        <v>542.4</v>
      </c>
      <c r="D7" s="6">
        <v>1928.4</v>
      </c>
      <c r="E7" s="6">
        <v>1562.8</v>
      </c>
      <c r="F7" s="6">
        <v>32.6</v>
      </c>
      <c r="G7" s="6">
        <v>0.24</v>
      </c>
      <c r="H7" s="6">
        <v>0.14000000000000001</v>
      </c>
      <c r="I7" s="6">
        <v>0.08</v>
      </c>
      <c r="J7" s="6">
        <v>5351</v>
      </c>
      <c r="K7" s="13">
        <v>36528</v>
      </c>
      <c r="M7" t="s">
        <v>52</v>
      </c>
      <c r="N7" t="s">
        <v>51</v>
      </c>
    </row>
    <row r="8" spans="2:14">
      <c r="B8" t="s">
        <v>14</v>
      </c>
      <c r="C8" s="6">
        <v>480.6</v>
      </c>
      <c r="D8" s="6">
        <v>944.7</v>
      </c>
      <c r="E8" s="6">
        <v>130.69999999999999</v>
      </c>
      <c r="F8" s="6">
        <v>9.1999999999999993</v>
      </c>
      <c r="G8" s="6">
        <v>0.57999999999999996</v>
      </c>
      <c r="H8" s="6">
        <v>0.39</v>
      </c>
      <c r="I8" s="6">
        <v>0.22</v>
      </c>
      <c r="J8" s="6">
        <v>5499</v>
      </c>
      <c r="K8" s="13">
        <v>36528</v>
      </c>
      <c r="M8" t="s">
        <v>52</v>
      </c>
      <c r="N8" t="s">
        <v>51</v>
      </c>
    </row>
    <row r="9" spans="2:14">
      <c r="B9" t="s">
        <v>6</v>
      </c>
      <c r="C9" s="6">
        <v>313.5</v>
      </c>
      <c r="D9" s="6">
        <v>747.2</v>
      </c>
      <c r="E9" s="6">
        <v>390.7</v>
      </c>
      <c r="F9" s="6">
        <v>15.3</v>
      </c>
      <c r="G9" s="6">
        <v>0.49</v>
      </c>
      <c r="H9" s="6">
        <v>0.36</v>
      </c>
      <c r="I9" s="6">
        <v>0.18</v>
      </c>
      <c r="J9" s="6">
        <v>5438</v>
      </c>
      <c r="K9" s="13">
        <v>36529</v>
      </c>
      <c r="M9" t="s">
        <v>50</v>
      </c>
      <c r="N9" t="s">
        <v>51</v>
      </c>
    </row>
    <row r="10" spans="2:14">
      <c r="B10" t="s">
        <v>7</v>
      </c>
      <c r="C10" s="6">
        <v>527.1</v>
      </c>
      <c r="D10" s="6">
        <v>1087.5999999999999</v>
      </c>
      <c r="E10" s="6">
        <v>179.6</v>
      </c>
      <c r="F10" s="6">
        <v>10.5</v>
      </c>
      <c r="G10" s="6">
        <v>0.57999999999999996</v>
      </c>
      <c r="H10" s="6">
        <v>0.38</v>
      </c>
      <c r="I10" s="6">
        <v>0.21</v>
      </c>
      <c r="J10" s="6">
        <v>5463</v>
      </c>
      <c r="K10" s="13">
        <v>36528</v>
      </c>
      <c r="M10" t="s">
        <v>52</v>
      </c>
      <c r="N10" t="s">
        <v>51</v>
      </c>
    </row>
    <row r="11" spans="2:14">
      <c r="B11" t="s">
        <v>8</v>
      </c>
      <c r="C11" s="6">
        <v>242.8</v>
      </c>
      <c r="D11" s="6">
        <v>1319.5</v>
      </c>
      <c r="E11" s="6">
        <v>2144</v>
      </c>
      <c r="F11" s="6">
        <v>40.299999999999997</v>
      </c>
      <c r="G11" s="6">
        <v>0.37</v>
      </c>
      <c r="H11" s="6">
        <v>0.21</v>
      </c>
      <c r="I11" s="6">
        <v>0.12</v>
      </c>
      <c r="J11" s="6">
        <v>4809</v>
      </c>
      <c r="K11" s="13">
        <v>37378</v>
      </c>
      <c r="M11" t="s">
        <v>53</v>
      </c>
      <c r="N11" t="s">
        <v>51</v>
      </c>
    </row>
    <row r="12" spans="2:14">
      <c r="B12" t="s">
        <v>15</v>
      </c>
      <c r="C12" s="6">
        <v>489.8</v>
      </c>
      <c r="D12" s="6">
        <v>1028.3</v>
      </c>
      <c r="E12" s="6">
        <v>101.5</v>
      </c>
      <c r="F12" s="6">
        <v>8.6</v>
      </c>
      <c r="G12" s="6">
        <v>0.46</v>
      </c>
      <c r="H12" s="6">
        <v>0.38</v>
      </c>
      <c r="I12" s="6">
        <v>0.27</v>
      </c>
      <c r="J12" s="6">
        <v>5281</v>
      </c>
      <c r="K12" s="13">
        <v>36528</v>
      </c>
      <c r="M12" t="s">
        <v>52</v>
      </c>
      <c r="N12" t="s">
        <v>51</v>
      </c>
    </row>
    <row r="13" spans="2:14">
      <c r="B13" t="s">
        <v>9</v>
      </c>
      <c r="C13" s="6">
        <v>494.2</v>
      </c>
      <c r="D13" s="6">
        <v>1100.5999999999999</v>
      </c>
      <c r="E13" s="6">
        <v>135.4</v>
      </c>
      <c r="F13" s="6">
        <v>9.4</v>
      </c>
      <c r="G13" s="6">
        <v>0.57999999999999996</v>
      </c>
      <c r="H13" s="6">
        <v>0.37</v>
      </c>
      <c r="I13" s="6">
        <v>0.21</v>
      </c>
      <c r="J13" s="6">
        <v>5407</v>
      </c>
      <c r="K13" s="13">
        <v>36528</v>
      </c>
      <c r="M13" t="s">
        <v>52</v>
      </c>
      <c r="N13" t="s">
        <v>51</v>
      </c>
    </row>
    <row r="14" spans="2:14">
      <c r="B14" t="s">
        <v>16</v>
      </c>
      <c r="C14" s="6">
        <v>547</v>
      </c>
      <c r="D14" s="6">
        <v>1235.3</v>
      </c>
      <c r="E14" s="6">
        <v>295.3</v>
      </c>
      <c r="F14" s="6">
        <v>13.1</v>
      </c>
      <c r="G14" s="6">
        <v>0.47</v>
      </c>
      <c r="H14" s="6">
        <v>0.28000000000000003</v>
      </c>
      <c r="I14" s="15">
        <v>0.2</v>
      </c>
      <c r="J14" s="6">
        <v>5307</v>
      </c>
      <c r="K14" s="13">
        <v>36529</v>
      </c>
      <c r="M14" t="s">
        <v>50</v>
      </c>
      <c r="N14" t="s">
        <v>51</v>
      </c>
    </row>
    <row r="15" spans="2:14">
      <c r="B15" t="s">
        <v>10</v>
      </c>
      <c r="C15" s="6">
        <v>400.3</v>
      </c>
      <c r="D15" s="6">
        <v>545.79999999999995</v>
      </c>
      <c r="E15" s="6">
        <v>75.900000000000006</v>
      </c>
      <c r="F15" s="6">
        <v>6.8</v>
      </c>
      <c r="G15" s="6">
        <v>0.56999999999999995</v>
      </c>
      <c r="H15" s="6">
        <v>0.38</v>
      </c>
      <c r="I15" s="6">
        <v>0.19</v>
      </c>
      <c r="J15" s="6">
        <v>5241</v>
      </c>
      <c r="K15" s="13">
        <v>36558</v>
      </c>
      <c r="M15" t="s">
        <v>54</v>
      </c>
      <c r="N15" t="s">
        <v>51</v>
      </c>
    </row>
    <row r="16" spans="2:14">
      <c r="B16" t="s">
        <v>11</v>
      </c>
      <c r="C16" s="16">
        <v>304</v>
      </c>
      <c r="D16" s="6">
        <v>791.8</v>
      </c>
      <c r="E16" s="6">
        <v>306.7</v>
      </c>
      <c r="F16" s="6">
        <v>13.7</v>
      </c>
      <c r="G16" s="6">
        <v>0.66</v>
      </c>
      <c r="H16" s="6">
        <v>0.43</v>
      </c>
      <c r="I16" s="6">
        <v>0.24</v>
      </c>
      <c r="J16" s="6">
        <v>5406</v>
      </c>
      <c r="K16" s="13">
        <v>36528</v>
      </c>
      <c r="M16" t="s">
        <v>52</v>
      </c>
      <c r="N16" t="s">
        <v>51</v>
      </c>
    </row>
    <row r="17" spans="2:14">
      <c r="B17" t="s">
        <v>17</v>
      </c>
      <c r="C17" s="6">
        <v>538.20000000000005</v>
      </c>
      <c r="D17" s="6">
        <v>1199.3</v>
      </c>
      <c r="E17" s="6">
        <v>111.4</v>
      </c>
      <c r="F17" s="6">
        <v>8.9</v>
      </c>
      <c r="G17" s="6">
        <v>0.49</v>
      </c>
      <c r="H17" s="6">
        <v>0.23</v>
      </c>
      <c r="I17" s="6">
        <v>0.22</v>
      </c>
      <c r="J17" s="6">
        <v>5208</v>
      </c>
      <c r="K17" s="13">
        <v>36529</v>
      </c>
      <c r="M17" t="s">
        <v>50</v>
      </c>
      <c r="N17" t="s">
        <v>51</v>
      </c>
    </row>
    <row r="18" spans="2:14">
      <c r="B18" t="s">
        <v>18</v>
      </c>
      <c r="C18" s="6">
        <v>318.39999999999998</v>
      </c>
      <c r="D18" s="6">
        <v>763.7</v>
      </c>
      <c r="E18" s="6">
        <v>177.5</v>
      </c>
      <c r="F18" s="6">
        <v>10.8</v>
      </c>
      <c r="G18" s="6">
        <v>0.6</v>
      </c>
      <c r="H18" s="6">
        <v>0.37</v>
      </c>
      <c r="I18" s="6">
        <v>0.19</v>
      </c>
      <c r="J18" s="6">
        <v>5401</v>
      </c>
      <c r="K18" s="13">
        <v>36529</v>
      </c>
      <c r="M18" t="s">
        <v>50</v>
      </c>
      <c r="N18" t="s">
        <v>51</v>
      </c>
    </row>
    <row r="19" spans="2:14" ht="15.75" thickBot="1">
      <c r="B19" s="4" t="s">
        <v>12</v>
      </c>
      <c r="C19" s="7">
        <v>430.3</v>
      </c>
      <c r="D19" s="7">
        <v>858.4</v>
      </c>
      <c r="E19" s="7">
        <v>233.7</v>
      </c>
      <c r="F19" s="7">
        <v>11.4</v>
      </c>
      <c r="G19" s="7">
        <v>0.61</v>
      </c>
      <c r="H19" s="7">
        <v>0.41</v>
      </c>
      <c r="I19" s="7">
        <v>0.22</v>
      </c>
      <c r="J19" s="7">
        <v>5496</v>
      </c>
      <c r="K19" s="14">
        <v>36528</v>
      </c>
      <c r="M19" t="s">
        <v>52</v>
      </c>
      <c r="N19" t="s">
        <v>51</v>
      </c>
    </row>
    <row r="20" spans="2:14" ht="14.45" customHeight="1">
      <c r="B20" s="42" t="s">
        <v>55</v>
      </c>
      <c r="C20" s="42"/>
      <c r="D20" s="42"/>
      <c r="E20" s="42"/>
      <c r="F20" s="42"/>
      <c r="G20" s="42"/>
      <c r="H20" s="42"/>
      <c r="I20" s="42"/>
      <c r="J20" s="42"/>
      <c r="K20" s="42"/>
    </row>
    <row r="21" spans="2:14">
      <c r="B21" s="42"/>
      <c r="C21" s="42"/>
      <c r="D21" s="42"/>
      <c r="E21" s="42"/>
      <c r="F21" s="42"/>
      <c r="G21" s="42"/>
      <c r="H21" s="42"/>
      <c r="I21" s="42"/>
      <c r="J21" s="42"/>
      <c r="K21" s="42"/>
    </row>
    <row r="22" spans="2:14">
      <c r="B22" s="42"/>
      <c r="C22" s="42"/>
      <c r="D22" s="42"/>
      <c r="E22" s="42"/>
      <c r="F22" s="42"/>
      <c r="G22" s="42"/>
      <c r="H22" s="42"/>
      <c r="I22" s="42"/>
      <c r="J22" s="42"/>
      <c r="K22" s="42"/>
    </row>
    <row r="23" spans="2:14">
      <c r="B23" s="42"/>
      <c r="C23" s="42"/>
      <c r="D23" s="42"/>
      <c r="E23" s="42"/>
      <c r="F23" s="42"/>
      <c r="G23" s="42"/>
      <c r="H23" s="42"/>
      <c r="I23" s="42"/>
      <c r="J23" s="42"/>
      <c r="K23" s="42"/>
    </row>
    <row r="24" spans="2:14">
      <c r="B24" s="42"/>
      <c r="C24" s="42"/>
      <c r="D24" s="42"/>
      <c r="E24" s="42"/>
      <c r="F24" s="42"/>
      <c r="G24" s="42"/>
      <c r="H24" s="42"/>
      <c r="I24" s="42"/>
      <c r="J24" s="42"/>
      <c r="K24" s="42"/>
    </row>
    <row r="25" spans="2:14">
      <c r="B25" s="42"/>
      <c r="C25" s="42"/>
      <c r="D25" s="42"/>
      <c r="E25" s="42"/>
      <c r="F25" s="42"/>
      <c r="G25" s="42"/>
      <c r="H25" s="42"/>
      <c r="I25" s="42"/>
      <c r="J25" s="42"/>
      <c r="K25" s="42"/>
    </row>
    <row r="26" spans="2:14">
      <c r="B26" s="42"/>
      <c r="C26" s="42"/>
      <c r="D26" s="42"/>
      <c r="E26" s="42"/>
      <c r="F26" s="42"/>
      <c r="G26" s="42"/>
      <c r="H26" s="42"/>
      <c r="I26" s="42"/>
      <c r="J26" s="42"/>
      <c r="K26" s="42"/>
    </row>
  </sheetData>
  <mergeCells count="2">
    <mergeCell ref="B3:J3"/>
    <mergeCell ref="B20:K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Y77"/>
  <sheetViews>
    <sheetView tabSelected="1" zoomScale="85" zoomScaleNormal="85" workbookViewId="0">
      <selection sqref="A1:XFD1048576"/>
    </sheetView>
  </sheetViews>
  <sheetFormatPr defaultRowHeight="15"/>
  <cols>
    <col min="1" max="1" width="8.7109375" customWidth="1"/>
    <col min="2" max="2" width="11.28515625" style="3" bestFit="1" customWidth="1"/>
    <col min="3" max="3" width="4.7109375" style="2" bestFit="1" customWidth="1"/>
    <col min="4" max="4" width="5.7109375" style="2" bestFit="1" customWidth="1"/>
    <col min="5" max="5" width="4.7109375" style="2" bestFit="1" customWidth="1"/>
    <col min="6" max="6" width="4.85546875" style="2" bestFit="1" customWidth="1"/>
    <col min="7" max="9" width="5.7109375" style="2" bestFit="1" customWidth="1"/>
    <col min="10" max="10" width="6.42578125" style="2" bestFit="1" customWidth="1"/>
    <col min="11" max="12" width="4.7109375" style="2" bestFit="1" customWidth="1"/>
    <col min="13" max="13" width="6.42578125" style="2" bestFit="1" customWidth="1"/>
    <col min="14" max="14" width="5.7109375" style="2" bestFit="1" customWidth="1"/>
    <col min="15" max="16" width="4.7109375" style="2" bestFit="1" customWidth="1"/>
    <col min="17" max="18" width="7" style="2" customWidth="1"/>
    <col min="19" max="19" width="10.5703125" style="2" bestFit="1" customWidth="1"/>
    <col min="20" max="20" width="5" style="2" bestFit="1" customWidth="1"/>
    <col min="21" max="24" width="6" style="2" bestFit="1" customWidth="1"/>
    <col min="25" max="25" width="7" style="2" bestFit="1" customWidth="1"/>
    <col min="26" max="26" width="6" style="2" bestFit="1" customWidth="1"/>
    <col min="27" max="27" width="6.28515625" style="2" bestFit="1" customWidth="1"/>
    <col min="28" max="28" width="6" style="2" bestFit="1" customWidth="1"/>
    <col min="29" max="29" width="5" style="2" bestFit="1" customWidth="1"/>
    <col min="30" max="30" width="6.28515625" style="2" bestFit="1" customWidth="1"/>
    <col min="31" max="32" width="6" style="2" bestFit="1" customWidth="1"/>
    <col min="33" max="33" width="5" bestFit="1" customWidth="1"/>
    <col min="34" max="34" width="6.28515625" bestFit="1" customWidth="1"/>
    <col min="36" max="36" width="4.140625" style="6" bestFit="1" customWidth="1"/>
    <col min="37" max="37" width="3.85546875" style="6" bestFit="1" customWidth="1"/>
    <col min="38" max="38" width="4" style="6" bestFit="1" customWidth="1"/>
    <col min="39" max="39" width="4.28515625" style="6" bestFit="1" customWidth="1"/>
    <col min="40" max="42" width="4.42578125" style="6" bestFit="1" customWidth="1"/>
    <col min="43" max="43" width="5.85546875" style="6" bestFit="1" customWidth="1"/>
    <col min="44" max="44" width="4.28515625" style="6" bestFit="1" customWidth="1"/>
    <col min="45" max="45" width="3.7109375" style="6" bestFit="1" customWidth="1"/>
    <col min="46" max="46" width="5.85546875" style="6" bestFit="1" customWidth="1"/>
    <col min="47" max="47" width="4.42578125" style="6" bestFit="1" customWidth="1"/>
    <col min="48" max="49" width="4.140625" style="6" bestFit="1" customWidth="1"/>
  </cols>
  <sheetData>
    <row r="1" spans="2:51">
      <c r="B1" s="18"/>
    </row>
    <row r="2" spans="2:51">
      <c r="B2" s="41" t="s">
        <v>102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</row>
    <row r="4" spans="2:51">
      <c r="B4" s="20"/>
      <c r="C4" s="8" t="s">
        <v>34</v>
      </c>
      <c r="D4" s="8" t="s">
        <v>35</v>
      </c>
      <c r="E4" s="8" t="s">
        <v>36</v>
      </c>
      <c r="F4" s="8" t="s">
        <v>37</v>
      </c>
      <c r="G4" s="8" t="s">
        <v>38</v>
      </c>
      <c r="H4" s="8" t="s">
        <v>39</v>
      </c>
      <c r="I4" s="8" t="s">
        <v>40</v>
      </c>
      <c r="J4" s="8" t="s">
        <v>41</v>
      </c>
      <c r="K4" s="8" t="s">
        <v>42</v>
      </c>
      <c r="L4" s="8" t="s">
        <v>43</v>
      </c>
      <c r="M4" s="8" t="s">
        <v>46</v>
      </c>
      <c r="N4" s="8" t="s">
        <v>44</v>
      </c>
      <c r="O4" s="8" t="s">
        <v>45</v>
      </c>
      <c r="P4" s="8" t="s">
        <v>47</v>
      </c>
      <c r="Q4" s="27"/>
      <c r="R4" s="27"/>
      <c r="S4" s="20" t="s">
        <v>86</v>
      </c>
      <c r="T4" s="8" t="s">
        <v>34</v>
      </c>
      <c r="U4" s="8" t="s">
        <v>35</v>
      </c>
      <c r="V4" s="8" t="s">
        <v>36</v>
      </c>
      <c r="W4" s="8" t="s">
        <v>37</v>
      </c>
      <c r="X4" s="8" t="s">
        <v>38</v>
      </c>
      <c r="Y4" s="8" t="s">
        <v>39</v>
      </c>
      <c r="Z4" s="8" t="s">
        <v>40</v>
      </c>
      <c r="AA4" s="8" t="s">
        <v>41</v>
      </c>
      <c r="AB4" s="8" t="s">
        <v>42</v>
      </c>
      <c r="AC4" s="8" t="s">
        <v>43</v>
      </c>
      <c r="AD4" s="8" t="s">
        <v>46</v>
      </c>
      <c r="AE4" s="8" t="s">
        <v>44</v>
      </c>
      <c r="AF4" s="8" t="s">
        <v>45</v>
      </c>
      <c r="AG4" s="8" t="s">
        <v>47</v>
      </c>
      <c r="AH4" s="2"/>
    </row>
    <row r="5" spans="2:51">
      <c r="B5" s="46" t="s">
        <v>87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25"/>
      <c r="R5" s="25"/>
    </row>
    <row r="6" spans="2:51">
      <c r="B6" s="20" t="s">
        <v>61</v>
      </c>
      <c r="C6" s="22">
        <f>T6</f>
        <v>16.3</v>
      </c>
      <c r="D6" s="22">
        <f t="shared" ref="D6:P6" si="0">U6</f>
        <v>701.3</v>
      </c>
      <c r="E6" s="22">
        <f t="shared" si="0"/>
        <v>94.3</v>
      </c>
      <c r="F6" s="22">
        <f t="shared" si="0"/>
        <v>71.7</v>
      </c>
      <c r="G6" s="22">
        <f t="shared" si="0"/>
        <v>122.6</v>
      </c>
      <c r="H6" s="22">
        <f t="shared" si="0"/>
        <v>317.39999999999998</v>
      </c>
      <c r="I6" s="22">
        <f t="shared" si="0"/>
        <v>127.2</v>
      </c>
      <c r="J6" s="22">
        <f t="shared" si="0"/>
        <v>107.1</v>
      </c>
      <c r="K6" s="22">
        <f t="shared" si="0"/>
        <v>87.1</v>
      </c>
      <c r="L6" s="22">
        <f t="shared" si="0"/>
        <v>30.6</v>
      </c>
      <c r="M6" s="22">
        <f t="shared" si="0"/>
        <v>74.599999999999994</v>
      </c>
      <c r="N6" s="22">
        <f t="shared" si="0"/>
        <v>154.19999999999999</v>
      </c>
      <c r="O6" s="22">
        <f t="shared" si="0"/>
        <v>61</v>
      </c>
      <c r="P6" s="22">
        <f t="shared" si="0"/>
        <v>77.099999999999994</v>
      </c>
      <c r="Q6" s="23"/>
      <c r="R6" s="23"/>
      <c r="S6" s="18" t="s">
        <v>30</v>
      </c>
      <c r="T6" s="2">
        <v>16.3</v>
      </c>
      <c r="U6" s="2">
        <v>701.3</v>
      </c>
      <c r="V6" s="2">
        <v>94.3</v>
      </c>
      <c r="W6" s="2">
        <v>71.7</v>
      </c>
      <c r="X6" s="2">
        <v>122.6</v>
      </c>
      <c r="Y6" s="2">
        <v>317.39999999999998</v>
      </c>
      <c r="Z6" s="2">
        <v>127.2</v>
      </c>
      <c r="AA6" s="2">
        <v>107.1</v>
      </c>
      <c r="AB6" s="2">
        <v>87.1</v>
      </c>
      <c r="AC6" s="2">
        <v>30.6</v>
      </c>
      <c r="AD6" s="2">
        <v>74.599999999999994</v>
      </c>
      <c r="AE6" s="2">
        <v>154.19999999999999</v>
      </c>
      <c r="AF6" s="2">
        <v>61</v>
      </c>
      <c r="AG6">
        <v>77.099999999999994</v>
      </c>
    </row>
    <row r="7" spans="2:51">
      <c r="B7" s="18" t="s">
        <v>48</v>
      </c>
      <c r="C7" s="31">
        <f t="shared" ref="C7:C17" si="1">T7/C$6</f>
        <v>1.3374233128834356</v>
      </c>
      <c r="D7" s="31">
        <f t="shared" ref="D7:D17" si="2">U7/D$6</f>
        <v>0.84329103094253532</v>
      </c>
      <c r="E7" s="31">
        <f t="shared" ref="E7:E17" si="3">V7/E$6</f>
        <v>0.97560975609756095</v>
      </c>
      <c r="F7" s="31">
        <f t="shared" ref="F7:F17" si="4">W7/F$6</f>
        <v>0.99721059972105996</v>
      </c>
      <c r="G7" s="31">
        <f t="shared" ref="G7:G17" si="5">X7/G$6</f>
        <v>1.0367047308319739</v>
      </c>
      <c r="H7" s="31">
        <f t="shared" ref="H7:H17" si="6">Y7/H$6</f>
        <v>0.98393194706994336</v>
      </c>
      <c r="I7" s="31">
        <f t="shared" ref="I7:I17" si="7">Z7/I$6</f>
        <v>1.1540880503144655</v>
      </c>
      <c r="J7" s="31">
        <f t="shared" ref="J7:J17" si="8">AA7/J$6</f>
        <v>1.1073762838468721</v>
      </c>
      <c r="K7" s="31">
        <f t="shared" ref="K7:K17" si="9">AB7/K$6</f>
        <v>1</v>
      </c>
      <c r="L7" s="31">
        <f t="shared" ref="L7:L17" si="10">AC7/L$6</f>
        <v>2.5392156862745097</v>
      </c>
      <c r="M7" s="31">
        <f t="shared" ref="M7:M17" si="11">AD7/M$6</f>
        <v>1.1769436997319036</v>
      </c>
      <c r="N7" s="31">
        <f t="shared" ref="N7:N17" si="12">AE7/N$6</f>
        <v>1.1621271076523996</v>
      </c>
      <c r="O7" s="31">
        <f t="shared" ref="O7:O17" si="13">AF7/O$6</f>
        <v>1.1360655737704917</v>
      </c>
      <c r="P7" s="31">
        <f t="shared" ref="P7:P17" si="14">AG7/P$6</f>
        <v>1.0207522697795073</v>
      </c>
      <c r="Q7" s="19"/>
      <c r="R7" s="19"/>
      <c r="S7" s="18" t="s">
        <v>48</v>
      </c>
      <c r="T7" s="2">
        <v>21.8</v>
      </c>
      <c r="U7" s="2">
        <v>591.4</v>
      </c>
      <c r="V7" s="2">
        <v>92</v>
      </c>
      <c r="W7" s="2">
        <v>71.5</v>
      </c>
      <c r="X7" s="2">
        <v>127.1</v>
      </c>
      <c r="Y7" s="2">
        <v>312.3</v>
      </c>
      <c r="Z7" s="2">
        <v>146.80000000000001</v>
      </c>
      <c r="AA7" s="2">
        <v>118.6</v>
      </c>
      <c r="AB7" s="2">
        <v>87.1</v>
      </c>
      <c r="AC7" s="2">
        <v>77.7</v>
      </c>
      <c r="AD7" s="2">
        <v>87.8</v>
      </c>
      <c r="AE7" s="2">
        <v>179.2</v>
      </c>
      <c r="AF7" s="2">
        <v>69.3</v>
      </c>
      <c r="AG7">
        <v>78.7</v>
      </c>
      <c r="AH7" s="2"/>
      <c r="AY7" s="6"/>
    </row>
    <row r="8" spans="2:51">
      <c r="B8" s="18" t="s">
        <v>58</v>
      </c>
      <c r="C8" s="31">
        <f t="shared" si="1"/>
        <v>1.3803680981595092</v>
      </c>
      <c r="D8" s="31">
        <f t="shared" si="2"/>
        <v>0.9265649508056466</v>
      </c>
      <c r="E8" s="31">
        <f t="shared" si="3"/>
        <v>1.0445387062566278</v>
      </c>
      <c r="F8" s="31">
        <f t="shared" si="4"/>
        <v>0.97210599721059976</v>
      </c>
      <c r="G8" s="31">
        <f t="shared" si="5"/>
        <v>1.0489396411092986</v>
      </c>
      <c r="H8" s="31">
        <f t="shared" si="6"/>
        <v>1.0500945179584122</v>
      </c>
      <c r="I8" s="31">
        <f t="shared" si="7"/>
        <v>1.0102201257861636</v>
      </c>
      <c r="J8" s="31">
        <f t="shared" si="8"/>
        <v>0.92156862745098045</v>
      </c>
      <c r="K8" s="31">
        <f t="shared" si="9"/>
        <v>0.98851894374282434</v>
      </c>
      <c r="L8" s="31">
        <f t="shared" si="10"/>
        <v>1.0980392156862746</v>
      </c>
      <c r="M8" s="31">
        <f t="shared" si="11"/>
        <v>0.82305630026809651</v>
      </c>
      <c r="N8" s="31">
        <f t="shared" si="12"/>
        <v>1.1102464332036317</v>
      </c>
      <c r="O8" s="31">
        <f t="shared" si="13"/>
        <v>1.0803278688524591</v>
      </c>
      <c r="P8" s="31">
        <f t="shared" si="14"/>
        <v>1.0129701686121919</v>
      </c>
      <c r="Q8" s="19"/>
      <c r="R8" s="19"/>
      <c r="S8" s="18" t="s">
        <v>58</v>
      </c>
      <c r="T8" s="2">
        <v>22.5</v>
      </c>
      <c r="U8" s="2">
        <v>649.79999999999995</v>
      </c>
      <c r="V8" s="2">
        <v>98.5</v>
      </c>
      <c r="W8" s="2">
        <v>69.7</v>
      </c>
      <c r="X8" s="2">
        <v>128.6</v>
      </c>
      <c r="Y8" s="2">
        <v>333.3</v>
      </c>
      <c r="Z8" s="2">
        <v>128.5</v>
      </c>
      <c r="AA8" s="2">
        <v>98.7</v>
      </c>
      <c r="AB8" s="2">
        <v>86.1</v>
      </c>
      <c r="AC8" s="2">
        <v>33.6</v>
      </c>
      <c r="AD8" s="2">
        <v>61.4</v>
      </c>
      <c r="AE8" s="2">
        <v>171.2</v>
      </c>
      <c r="AF8" s="2">
        <v>65.900000000000006</v>
      </c>
      <c r="AG8">
        <v>78.099999999999994</v>
      </c>
      <c r="AH8" s="2"/>
      <c r="AY8" s="6"/>
    </row>
    <row r="9" spans="2:51">
      <c r="B9" s="18" t="s">
        <v>29</v>
      </c>
      <c r="C9" s="31">
        <f t="shared" si="1"/>
        <v>1.2269938650306749</v>
      </c>
      <c r="D9" s="31">
        <f t="shared" si="2"/>
        <v>1.1833737344930844</v>
      </c>
      <c r="E9" s="31">
        <f t="shared" si="3"/>
        <v>1.0943796394485685</v>
      </c>
      <c r="F9" s="31">
        <f t="shared" si="4"/>
        <v>1.306834030683403</v>
      </c>
      <c r="G9" s="31">
        <f t="shared" si="5"/>
        <v>1.1721044045676998</v>
      </c>
      <c r="H9" s="31">
        <f t="shared" si="6"/>
        <v>1.3241965973534973</v>
      </c>
      <c r="I9" s="31">
        <f t="shared" si="7"/>
        <v>1.229559748427673</v>
      </c>
      <c r="J9" s="31">
        <f t="shared" si="8"/>
        <v>1.196078431372549</v>
      </c>
      <c r="K9" s="31">
        <f t="shared" si="9"/>
        <v>1.1894374282433984</v>
      </c>
      <c r="L9" s="31">
        <f t="shared" si="10"/>
        <v>1.0849673202614381</v>
      </c>
      <c r="M9" s="31">
        <f t="shared" si="11"/>
        <v>1.093833780160858</v>
      </c>
      <c r="N9" s="31">
        <f t="shared" si="12"/>
        <v>1.1284046692607004</v>
      </c>
      <c r="O9" s="31">
        <f t="shared" si="13"/>
        <v>1.1704918032786886</v>
      </c>
      <c r="P9" s="31">
        <f t="shared" si="14"/>
        <v>1.2088197146562907</v>
      </c>
      <c r="Q9" s="19"/>
      <c r="R9" s="19"/>
      <c r="S9" s="18" t="s">
        <v>29</v>
      </c>
      <c r="T9" s="2">
        <v>20</v>
      </c>
      <c r="U9" s="2">
        <v>829.9</v>
      </c>
      <c r="V9" s="2">
        <v>103.2</v>
      </c>
      <c r="W9" s="2">
        <v>93.7</v>
      </c>
      <c r="X9" s="2">
        <v>143.69999999999999</v>
      </c>
      <c r="Y9" s="2">
        <v>420.3</v>
      </c>
      <c r="Z9" s="2">
        <v>156.4</v>
      </c>
      <c r="AA9" s="2">
        <v>128.1</v>
      </c>
      <c r="AB9" s="2">
        <v>103.6</v>
      </c>
      <c r="AC9" s="2">
        <v>33.200000000000003</v>
      </c>
      <c r="AD9" s="2">
        <v>81.599999999999994</v>
      </c>
      <c r="AE9" s="2">
        <v>174</v>
      </c>
      <c r="AF9" s="2">
        <v>71.400000000000006</v>
      </c>
      <c r="AG9">
        <v>93.2</v>
      </c>
      <c r="AH9" s="2"/>
      <c r="AY9" s="6"/>
    </row>
    <row r="10" spans="2:51">
      <c r="B10" s="18" t="s">
        <v>31</v>
      </c>
      <c r="C10" s="31">
        <f t="shared" si="1"/>
        <v>1.4601226993865031</v>
      </c>
      <c r="D10" s="31">
        <f t="shared" si="2"/>
        <v>0.83830029944388995</v>
      </c>
      <c r="E10" s="31">
        <f t="shared" si="3"/>
        <v>0.95546129374337219</v>
      </c>
      <c r="F10" s="31">
        <f t="shared" si="4"/>
        <v>1.4184100418410042</v>
      </c>
      <c r="G10" s="31">
        <f t="shared" si="5"/>
        <v>0.87928221859706368</v>
      </c>
      <c r="H10" s="31">
        <f t="shared" si="6"/>
        <v>0.9697542533081287</v>
      </c>
      <c r="I10" s="31">
        <f t="shared" si="7"/>
        <v>1.0062893081761006</v>
      </c>
      <c r="J10" s="31">
        <f t="shared" si="8"/>
        <v>0.95238095238095244</v>
      </c>
      <c r="K10" s="31">
        <f t="shared" si="9"/>
        <v>0.94603903559127456</v>
      </c>
      <c r="L10" s="31">
        <f t="shared" si="10"/>
        <v>1.0915032679738561</v>
      </c>
      <c r="M10" s="31">
        <f t="shared" si="11"/>
        <v>0.76943699731903492</v>
      </c>
      <c r="N10" s="31">
        <f t="shared" si="12"/>
        <v>0.93385214007782114</v>
      </c>
      <c r="O10" s="31">
        <f t="shared" si="13"/>
        <v>1.6491803278688524</v>
      </c>
      <c r="P10" s="31">
        <f t="shared" si="14"/>
        <v>1.03242542153048</v>
      </c>
      <c r="Q10" s="19"/>
      <c r="R10" s="19"/>
      <c r="S10" s="18" t="s">
        <v>31</v>
      </c>
      <c r="T10" s="2">
        <v>23.8</v>
      </c>
      <c r="U10" s="2">
        <v>587.9</v>
      </c>
      <c r="V10" s="2">
        <v>90.1</v>
      </c>
      <c r="W10" s="2">
        <v>101.7</v>
      </c>
      <c r="X10" s="2">
        <v>107.8</v>
      </c>
      <c r="Y10" s="2">
        <v>307.8</v>
      </c>
      <c r="Z10" s="2">
        <v>128</v>
      </c>
      <c r="AA10" s="2">
        <v>102</v>
      </c>
      <c r="AB10" s="2">
        <v>82.4</v>
      </c>
      <c r="AC10" s="2">
        <v>33.4</v>
      </c>
      <c r="AD10" s="2">
        <v>57.4</v>
      </c>
      <c r="AE10" s="2">
        <v>144</v>
      </c>
      <c r="AF10" s="2">
        <v>100.6</v>
      </c>
      <c r="AG10">
        <v>79.599999999999994</v>
      </c>
      <c r="AH10" s="2"/>
      <c r="AY10" s="6"/>
    </row>
    <row r="11" spans="2:51">
      <c r="B11" s="18" t="s">
        <v>32</v>
      </c>
      <c r="C11" s="31">
        <f t="shared" si="1"/>
        <v>0.89570552147239257</v>
      </c>
      <c r="D11" s="31">
        <f t="shared" si="2"/>
        <v>0.79038927705689432</v>
      </c>
      <c r="E11" s="31">
        <f t="shared" si="3"/>
        <v>1.0509013785790031</v>
      </c>
      <c r="F11" s="31">
        <f t="shared" si="4"/>
        <v>0.90934449093444913</v>
      </c>
      <c r="G11" s="31">
        <f t="shared" si="5"/>
        <v>0.80016313213703094</v>
      </c>
      <c r="H11" s="31">
        <f t="shared" si="6"/>
        <v>0.86862003780718344</v>
      </c>
      <c r="I11" s="31">
        <f t="shared" si="7"/>
        <v>1.0102201257861636</v>
      </c>
      <c r="J11" s="31">
        <f t="shared" si="8"/>
        <v>1.1213818860877685</v>
      </c>
      <c r="K11" s="31">
        <f t="shared" si="9"/>
        <v>0.97474167623421371</v>
      </c>
      <c r="L11" s="31">
        <f t="shared" si="10"/>
        <v>1.130718954248366</v>
      </c>
      <c r="M11" s="31">
        <f t="shared" si="11"/>
        <v>1.2506702412868633</v>
      </c>
      <c r="N11" s="31">
        <f t="shared" si="12"/>
        <v>0.96044098573281456</v>
      </c>
      <c r="O11" s="31">
        <f t="shared" si="13"/>
        <v>0.9819672131147541</v>
      </c>
      <c r="P11" s="31">
        <f t="shared" si="14"/>
        <v>0.8599221789883269</v>
      </c>
      <c r="Q11" s="19"/>
      <c r="R11" s="19"/>
      <c r="S11" s="18" t="s">
        <v>32</v>
      </c>
      <c r="T11" s="2">
        <v>14.6</v>
      </c>
      <c r="U11" s="2">
        <v>554.29999999999995</v>
      </c>
      <c r="V11" s="2">
        <v>99.1</v>
      </c>
      <c r="W11" s="2">
        <v>65.2</v>
      </c>
      <c r="X11" s="2">
        <v>98.1</v>
      </c>
      <c r="Y11" s="2">
        <v>275.7</v>
      </c>
      <c r="Z11" s="2">
        <v>128.5</v>
      </c>
      <c r="AA11" s="2">
        <v>120.1</v>
      </c>
      <c r="AB11" s="2">
        <v>84.9</v>
      </c>
      <c r="AC11" s="2">
        <v>34.6</v>
      </c>
      <c r="AD11" s="2">
        <v>93.3</v>
      </c>
      <c r="AE11" s="2">
        <v>148.1</v>
      </c>
      <c r="AF11" s="2">
        <v>59.9</v>
      </c>
      <c r="AG11">
        <v>66.3</v>
      </c>
      <c r="AH11" s="2"/>
      <c r="AY11" s="6"/>
    </row>
    <row r="12" spans="2:51">
      <c r="B12" s="18" t="s">
        <v>33</v>
      </c>
      <c r="C12" s="31">
        <f t="shared" si="1"/>
        <v>0.90797546012269936</v>
      </c>
      <c r="D12" s="31">
        <f t="shared" si="2"/>
        <v>0.84329103094253532</v>
      </c>
      <c r="E12" s="31">
        <f t="shared" si="3"/>
        <v>1.0402969247083775</v>
      </c>
      <c r="F12" s="31">
        <f t="shared" si="4"/>
        <v>1.0334728033472802</v>
      </c>
      <c r="G12" s="31">
        <f t="shared" si="5"/>
        <v>0.82218597063621535</v>
      </c>
      <c r="H12" s="31">
        <f t="shared" si="6"/>
        <v>5.8698802772526779</v>
      </c>
      <c r="I12" s="31">
        <f t="shared" si="7"/>
        <v>1.0723270440251573</v>
      </c>
      <c r="J12" s="31">
        <f t="shared" si="8"/>
        <v>0.95424836601307195</v>
      </c>
      <c r="K12" s="31">
        <f t="shared" si="9"/>
        <v>1.0757749712973594</v>
      </c>
      <c r="L12" s="31">
        <f t="shared" si="10"/>
        <v>1.1732026143790848</v>
      </c>
      <c r="M12" s="31">
        <f t="shared" si="11"/>
        <v>0.78418230563002689</v>
      </c>
      <c r="N12" s="31">
        <f t="shared" si="12"/>
        <v>1.0201037613488977</v>
      </c>
      <c r="O12" s="31">
        <f t="shared" si="13"/>
        <v>1.0852459016393443</v>
      </c>
      <c r="P12" s="31">
        <f t="shared" si="14"/>
        <v>0.87029831387808043</v>
      </c>
      <c r="Q12" s="19"/>
      <c r="R12" s="19"/>
      <c r="S12" s="18" t="s">
        <v>33</v>
      </c>
      <c r="T12" s="2">
        <v>14.8</v>
      </c>
      <c r="U12" s="2">
        <v>591.4</v>
      </c>
      <c r="V12" s="2">
        <v>98.1</v>
      </c>
      <c r="W12" s="2">
        <v>74.099999999999994</v>
      </c>
      <c r="X12" s="2">
        <v>100.8</v>
      </c>
      <c r="Y12" s="2">
        <v>1863.1</v>
      </c>
      <c r="Z12" s="2">
        <v>136.4</v>
      </c>
      <c r="AA12" s="2">
        <v>102.2</v>
      </c>
      <c r="AB12" s="2">
        <v>93.7</v>
      </c>
      <c r="AC12" s="2">
        <v>35.9</v>
      </c>
      <c r="AD12" s="2">
        <v>58.5</v>
      </c>
      <c r="AE12" s="2">
        <v>157.30000000000001</v>
      </c>
      <c r="AF12" s="2">
        <v>66.2</v>
      </c>
      <c r="AG12">
        <v>67.099999999999994</v>
      </c>
      <c r="AH12" s="2"/>
      <c r="AY12" s="6"/>
    </row>
    <row r="13" spans="2:51">
      <c r="B13" s="18" t="s">
        <v>95</v>
      </c>
      <c r="C13" s="31">
        <f t="shared" si="1"/>
        <v>1.2453987730061349</v>
      </c>
      <c r="D13" s="31">
        <f t="shared" si="2"/>
        <v>0.851703978325966</v>
      </c>
      <c r="E13" s="31">
        <f t="shared" si="3"/>
        <v>1.0593849416755039</v>
      </c>
      <c r="F13" s="31">
        <f t="shared" si="4"/>
        <v>1.0111576011157601</v>
      </c>
      <c r="G13" s="31">
        <f t="shared" si="5"/>
        <v>1.0717781402936379</v>
      </c>
      <c r="H13" s="31">
        <f t="shared" si="6"/>
        <v>1.0063011972274731</v>
      </c>
      <c r="I13" s="31">
        <f t="shared" si="7"/>
        <v>1.0070754716981132</v>
      </c>
      <c r="J13" s="31">
        <f t="shared" si="8"/>
        <v>1.1027077497665734</v>
      </c>
      <c r="K13" s="31">
        <f t="shared" si="9"/>
        <v>1.0884041331802525</v>
      </c>
      <c r="L13" s="31">
        <f t="shared" si="10"/>
        <v>1.1895424836601307</v>
      </c>
      <c r="M13" s="31">
        <f t="shared" si="11"/>
        <v>1.044235924932976</v>
      </c>
      <c r="N13" s="31">
        <f t="shared" si="12"/>
        <v>1.0927367055771726</v>
      </c>
      <c r="O13" s="31">
        <f t="shared" si="13"/>
        <v>1.1672131147540985</v>
      </c>
      <c r="P13" s="31">
        <f t="shared" si="14"/>
        <v>1.0972762645914398</v>
      </c>
      <c r="Q13" s="19"/>
      <c r="R13" s="19"/>
      <c r="S13" s="18" t="s">
        <v>95</v>
      </c>
      <c r="T13" s="2">
        <v>20.3</v>
      </c>
      <c r="U13" s="2">
        <v>597.29999999999995</v>
      </c>
      <c r="V13" s="2">
        <v>99.9</v>
      </c>
      <c r="W13" s="2">
        <v>72.5</v>
      </c>
      <c r="X13" s="2">
        <v>131.4</v>
      </c>
      <c r="Y13" s="2">
        <v>319.39999999999998</v>
      </c>
      <c r="Z13" s="2">
        <v>128.1</v>
      </c>
      <c r="AA13" s="2">
        <v>118.1</v>
      </c>
      <c r="AB13" s="2">
        <v>94.8</v>
      </c>
      <c r="AC13" s="2">
        <v>36.4</v>
      </c>
      <c r="AD13" s="2">
        <v>77.900000000000006</v>
      </c>
      <c r="AE13" s="2">
        <v>168.5</v>
      </c>
      <c r="AF13" s="2">
        <v>71.2</v>
      </c>
      <c r="AG13">
        <v>84.6</v>
      </c>
      <c r="AH13" s="2"/>
      <c r="AY13" s="6"/>
    </row>
    <row r="14" spans="2:51">
      <c r="B14" s="18" t="s">
        <v>94</v>
      </c>
      <c r="C14" s="31">
        <f t="shared" si="1"/>
        <v>0.80981595092024528</v>
      </c>
      <c r="D14" s="31">
        <f t="shared" si="2"/>
        <v>0.78083559104520184</v>
      </c>
      <c r="E14" s="31">
        <f t="shared" si="3"/>
        <v>0.80699893955461288</v>
      </c>
      <c r="F14" s="31">
        <f t="shared" si="4"/>
        <v>0.8340306834030683</v>
      </c>
      <c r="G14" s="31">
        <f t="shared" si="5"/>
        <v>0.84828711256117462</v>
      </c>
      <c r="H14" s="31">
        <f t="shared" si="6"/>
        <v>0.78418399495904234</v>
      </c>
      <c r="I14" s="31">
        <f t="shared" si="7"/>
        <v>0.87971698113207553</v>
      </c>
      <c r="J14" s="31">
        <f t="shared" si="8"/>
        <v>0.80765639589169003</v>
      </c>
      <c r="K14" s="31">
        <f t="shared" si="9"/>
        <v>0.88059701492537323</v>
      </c>
      <c r="L14" s="31">
        <f t="shared" si="10"/>
        <v>0.88888888888888884</v>
      </c>
      <c r="M14" s="31">
        <f t="shared" si="11"/>
        <v>0.70375335120643434</v>
      </c>
      <c r="N14" s="31">
        <f t="shared" si="12"/>
        <v>0.91050583657587558</v>
      </c>
      <c r="O14" s="31">
        <f t="shared" si="13"/>
        <v>0.89836065573770485</v>
      </c>
      <c r="P14" s="31">
        <f t="shared" si="14"/>
        <v>0.83009079118028539</v>
      </c>
      <c r="Q14" s="28"/>
      <c r="R14" s="28"/>
      <c r="S14" s="18" t="s">
        <v>96</v>
      </c>
      <c r="T14" s="2">
        <v>13.2</v>
      </c>
      <c r="U14" s="2">
        <v>547.6</v>
      </c>
      <c r="V14" s="2">
        <v>76.099999999999994</v>
      </c>
      <c r="W14" s="2">
        <v>59.8</v>
      </c>
      <c r="X14" s="2">
        <v>104</v>
      </c>
      <c r="Y14" s="2">
        <v>248.9</v>
      </c>
      <c r="Z14" s="2">
        <v>111.9</v>
      </c>
      <c r="AA14" s="2">
        <v>86.5</v>
      </c>
      <c r="AB14" s="2">
        <v>76.7</v>
      </c>
      <c r="AC14" s="2">
        <v>27.2</v>
      </c>
      <c r="AD14" s="2">
        <v>52.5</v>
      </c>
      <c r="AE14" s="2">
        <v>140.4</v>
      </c>
      <c r="AF14" s="2">
        <v>54.8</v>
      </c>
      <c r="AG14">
        <v>64</v>
      </c>
    </row>
    <row r="15" spans="2:51">
      <c r="B15" s="17" t="s">
        <v>91</v>
      </c>
      <c r="C15" s="31">
        <f t="shared" si="1"/>
        <v>0.92024539877300604</v>
      </c>
      <c r="D15" s="31">
        <f t="shared" si="2"/>
        <v>0.80279480963924144</v>
      </c>
      <c r="E15" s="31">
        <f t="shared" si="3"/>
        <v>0.89077412513255572</v>
      </c>
      <c r="F15" s="31">
        <f t="shared" si="4"/>
        <v>1.0376569037656904</v>
      </c>
      <c r="G15" s="31">
        <f t="shared" si="5"/>
        <v>0.94127243066884181</v>
      </c>
      <c r="H15" s="31">
        <f t="shared" si="6"/>
        <v>1.1887208569628231</v>
      </c>
      <c r="I15" s="31">
        <f t="shared" si="7"/>
        <v>0.95283018867924529</v>
      </c>
      <c r="J15" s="31">
        <f t="shared" si="8"/>
        <v>0.86647992530345475</v>
      </c>
      <c r="K15" s="31">
        <f t="shared" si="9"/>
        <v>0.95866819747416765</v>
      </c>
      <c r="L15" s="31">
        <f t="shared" si="10"/>
        <v>0.99346405228758161</v>
      </c>
      <c r="M15" s="31">
        <f t="shared" si="11"/>
        <v>0.83243967828418242</v>
      </c>
      <c r="N15" s="31">
        <f t="shared" si="12"/>
        <v>0.93579766536964992</v>
      </c>
      <c r="O15" s="31">
        <f t="shared" si="13"/>
        <v>0.99344262295081964</v>
      </c>
      <c r="P15" s="31">
        <f t="shared" si="14"/>
        <v>0.95849546044098588</v>
      </c>
      <c r="Q15" s="19"/>
      <c r="R15" s="19"/>
      <c r="S15" s="18" t="s">
        <v>91</v>
      </c>
      <c r="T15" s="2">
        <v>15</v>
      </c>
      <c r="U15" s="2">
        <v>563</v>
      </c>
      <c r="V15" s="2">
        <v>84</v>
      </c>
      <c r="W15" s="2">
        <v>74.400000000000006</v>
      </c>
      <c r="X15" s="2">
        <v>115.4</v>
      </c>
      <c r="Y15" s="2">
        <v>377.3</v>
      </c>
      <c r="Z15" s="2">
        <v>121.2</v>
      </c>
      <c r="AA15" s="2">
        <v>92.8</v>
      </c>
      <c r="AB15" s="2">
        <v>83.5</v>
      </c>
      <c r="AC15" s="2">
        <v>30.4</v>
      </c>
      <c r="AD15" s="2">
        <v>62.1</v>
      </c>
      <c r="AE15" s="2">
        <v>144.30000000000001</v>
      </c>
      <c r="AF15" s="2">
        <v>60.6</v>
      </c>
      <c r="AG15">
        <v>73.900000000000006</v>
      </c>
    </row>
    <row r="16" spans="2:51">
      <c r="B16" s="17" t="s">
        <v>57</v>
      </c>
      <c r="C16" s="31">
        <f t="shared" si="1"/>
        <v>1.1042944785276072</v>
      </c>
      <c r="D16" s="31">
        <f t="shared" si="2"/>
        <v>0.83145586767431923</v>
      </c>
      <c r="E16" s="31">
        <f t="shared" si="3"/>
        <v>0.99151643690349955</v>
      </c>
      <c r="F16" s="31">
        <f t="shared" si="4"/>
        <v>0.95955369595536955</v>
      </c>
      <c r="G16" s="31">
        <f t="shared" si="5"/>
        <v>0.99265905383360531</v>
      </c>
      <c r="H16" s="31">
        <f t="shared" si="6"/>
        <v>0.98393194706994336</v>
      </c>
      <c r="I16" s="31">
        <f t="shared" si="7"/>
        <v>0.98113207547169812</v>
      </c>
      <c r="J16" s="31">
        <f t="shared" si="8"/>
        <v>1.0186741363211951</v>
      </c>
      <c r="K16" s="31">
        <f t="shared" si="9"/>
        <v>1.0149253731343284</v>
      </c>
      <c r="L16" s="31">
        <f t="shared" si="10"/>
        <v>1.150326797385621</v>
      </c>
      <c r="M16" s="31">
        <f t="shared" si="11"/>
        <v>0.96112600536193038</v>
      </c>
      <c r="N16" s="31">
        <f t="shared" si="12"/>
        <v>1.056420233463035</v>
      </c>
      <c r="O16" s="31">
        <f t="shared" si="13"/>
        <v>1.0754098360655737</v>
      </c>
      <c r="P16" s="31">
        <f t="shared" si="14"/>
        <v>1.0298313878080416</v>
      </c>
      <c r="Q16" s="19"/>
      <c r="R16" s="19"/>
      <c r="S16" s="18" t="s">
        <v>57</v>
      </c>
      <c r="T16" s="2">
        <v>18</v>
      </c>
      <c r="U16" s="2">
        <v>583.1</v>
      </c>
      <c r="V16" s="2">
        <v>93.5</v>
      </c>
      <c r="W16" s="2">
        <v>68.8</v>
      </c>
      <c r="X16" s="2">
        <v>121.7</v>
      </c>
      <c r="Y16" s="2">
        <v>312.3</v>
      </c>
      <c r="Z16" s="2">
        <v>124.8</v>
      </c>
      <c r="AA16" s="2">
        <v>109.1</v>
      </c>
      <c r="AB16" s="2">
        <v>88.4</v>
      </c>
      <c r="AC16" s="2">
        <v>35.200000000000003</v>
      </c>
      <c r="AD16" s="2">
        <v>71.7</v>
      </c>
      <c r="AE16" s="2">
        <v>162.9</v>
      </c>
      <c r="AF16" s="2">
        <v>65.599999999999994</v>
      </c>
      <c r="AG16">
        <v>79.400000000000006</v>
      </c>
    </row>
    <row r="17" spans="2:49">
      <c r="B17" s="18" t="s">
        <v>89</v>
      </c>
      <c r="C17" s="31">
        <f t="shared" si="1"/>
        <v>0.77300613496932513</v>
      </c>
      <c r="D17" s="31">
        <f t="shared" si="2"/>
        <v>0.77370597461856561</v>
      </c>
      <c r="E17" s="31">
        <f t="shared" si="3"/>
        <v>0.79427359490986227</v>
      </c>
      <c r="F17" s="31">
        <f t="shared" si="4"/>
        <v>0.82147838214783819</v>
      </c>
      <c r="G17" s="31">
        <f t="shared" si="5"/>
        <v>0.80831973898858078</v>
      </c>
      <c r="H17" s="31">
        <f t="shared" si="6"/>
        <v>0.76685570258349089</v>
      </c>
      <c r="I17" s="31">
        <f t="shared" si="7"/>
        <v>0.88993710691823902</v>
      </c>
      <c r="J17" s="31">
        <f t="shared" si="8"/>
        <v>0.75163398692810457</v>
      </c>
      <c r="K17" s="31">
        <f t="shared" si="9"/>
        <v>0.86337543053960975</v>
      </c>
      <c r="L17" s="31">
        <f t="shared" si="10"/>
        <v>0.88888888888888884</v>
      </c>
      <c r="M17" s="31">
        <f t="shared" si="11"/>
        <v>0.69571045576407509</v>
      </c>
      <c r="N17" s="31">
        <f t="shared" si="12"/>
        <v>0.83333333333333337</v>
      </c>
      <c r="O17" s="31">
        <f t="shared" si="13"/>
        <v>0.87704918032786883</v>
      </c>
      <c r="P17" s="31">
        <f t="shared" si="14"/>
        <v>0.80674448767833995</v>
      </c>
      <c r="Q17" s="19"/>
      <c r="R17" s="19"/>
      <c r="S17" s="18" t="s">
        <v>97</v>
      </c>
      <c r="T17" s="2">
        <v>12.6</v>
      </c>
      <c r="U17" s="2">
        <v>542.6</v>
      </c>
      <c r="V17" s="2">
        <v>74.900000000000006</v>
      </c>
      <c r="W17" s="2">
        <v>58.9</v>
      </c>
      <c r="X17" s="2">
        <v>99.1</v>
      </c>
      <c r="Y17" s="2">
        <v>243.4</v>
      </c>
      <c r="Z17" s="2">
        <v>113.2</v>
      </c>
      <c r="AA17" s="2">
        <v>80.5</v>
      </c>
      <c r="AB17" s="2">
        <v>75.2</v>
      </c>
      <c r="AC17" s="2">
        <v>27.2</v>
      </c>
      <c r="AD17" s="2">
        <v>51.9</v>
      </c>
      <c r="AE17" s="2">
        <v>128.5</v>
      </c>
      <c r="AF17" s="2">
        <v>53.5</v>
      </c>
      <c r="AG17">
        <v>62.2</v>
      </c>
    </row>
    <row r="18" spans="2:49">
      <c r="B18" s="46" t="s">
        <v>93</v>
      </c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25"/>
      <c r="R18" s="25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</row>
    <row r="19" spans="2:49">
      <c r="B19" s="17" t="s">
        <v>92</v>
      </c>
      <c r="C19" s="32">
        <f t="shared" ref="C19:P20" si="15">T19/C$6</f>
        <v>0.93251533742331283</v>
      </c>
      <c r="D19" s="32">
        <f t="shared" si="15"/>
        <v>0.80450591758163426</v>
      </c>
      <c r="E19" s="32">
        <f t="shared" si="15"/>
        <v>0.87062566277836684</v>
      </c>
      <c r="F19" s="32">
        <f t="shared" si="15"/>
        <v>1.0529986052998606</v>
      </c>
      <c r="G19" s="32">
        <f t="shared" si="15"/>
        <v>0.93556280587275698</v>
      </c>
      <c r="H19" s="32">
        <f t="shared" si="15"/>
        <v>1.1918714555765597</v>
      </c>
      <c r="I19" s="32">
        <f t="shared" si="15"/>
        <v>0.94103773584905659</v>
      </c>
      <c r="J19" s="32">
        <f t="shared" si="15"/>
        <v>0.86741363211951461</v>
      </c>
      <c r="K19" s="32">
        <f t="shared" si="15"/>
        <v>0.96555683122847302</v>
      </c>
      <c r="L19" s="32">
        <f t="shared" si="15"/>
        <v>0.98039215686274506</v>
      </c>
      <c r="M19" s="32">
        <f t="shared" si="15"/>
        <v>0.83646112600536193</v>
      </c>
      <c r="N19" s="32">
        <f t="shared" si="15"/>
        <v>0.92866407263294426</v>
      </c>
      <c r="O19" s="32">
        <f t="shared" si="15"/>
        <v>0.9819672131147541</v>
      </c>
      <c r="P19" s="32">
        <f t="shared" si="15"/>
        <v>0.96368352788586253</v>
      </c>
      <c r="Q19" s="29"/>
      <c r="R19" s="29"/>
      <c r="S19" s="18" t="s">
        <v>92</v>
      </c>
      <c r="T19" s="2">
        <v>15.2</v>
      </c>
      <c r="U19" s="2">
        <v>564.20000000000005</v>
      </c>
      <c r="V19" s="2">
        <v>82.1</v>
      </c>
      <c r="W19" s="2">
        <v>75.5</v>
      </c>
      <c r="X19" s="2">
        <v>114.7</v>
      </c>
      <c r="Y19" s="2">
        <v>378.3</v>
      </c>
      <c r="Z19" s="2">
        <v>119.7</v>
      </c>
      <c r="AA19" s="2">
        <v>92.9</v>
      </c>
      <c r="AB19" s="2">
        <v>84.1</v>
      </c>
      <c r="AC19" s="2">
        <v>30</v>
      </c>
      <c r="AD19" s="2">
        <v>62.4</v>
      </c>
      <c r="AE19" s="2">
        <v>143.19999999999999</v>
      </c>
      <c r="AF19" s="2">
        <v>59.9</v>
      </c>
      <c r="AG19">
        <v>74.3</v>
      </c>
      <c r="AH19" s="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</row>
    <row r="20" spans="2:49">
      <c r="B20" s="17" t="s">
        <v>88</v>
      </c>
      <c r="C20" s="33">
        <f t="shared" si="15"/>
        <v>1.0920245398773005</v>
      </c>
      <c r="D20" s="33">
        <f t="shared" si="15"/>
        <v>1.1460145444175105</v>
      </c>
      <c r="E20" s="33">
        <f t="shared" si="15"/>
        <v>0.93001060445387074</v>
      </c>
      <c r="F20" s="33">
        <f t="shared" si="15"/>
        <v>0.96931659693165961</v>
      </c>
      <c r="G20" s="33">
        <f t="shared" si="15"/>
        <v>0.95758564437194138</v>
      </c>
      <c r="H20" s="33">
        <f t="shared" si="15"/>
        <v>1.3295526149968495</v>
      </c>
      <c r="I20" s="33">
        <f t="shared" si="15"/>
        <v>1.0094339622641511</v>
      </c>
      <c r="J20" s="33">
        <f t="shared" si="15"/>
        <v>1.003734827264239</v>
      </c>
      <c r="K20" s="33">
        <f t="shared" si="15"/>
        <v>0.96555683122847302</v>
      </c>
      <c r="L20" s="33">
        <f t="shared" si="15"/>
        <v>1.0163398692810457</v>
      </c>
      <c r="M20" s="33">
        <f t="shared" si="15"/>
        <v>0.84584450402144784</v>
      </c>
      <c r="N20" s="33">
        <f t="shared" si="15"/>
        <v>0.98184176394293132</v>
      </c>
      <c r="O20" s="33">
        <f t="shared" si="15"/>
        <v>1.0016393442622951</v>
      </c>
      <c r="P20" s="33">
        <f t="shared" si="15"/>
        <v>1.03242542153048</v>
      </c>
      <c r="Q20" s="29"/>
      <c r="R20" s="29"/>
      <c r="S20" s="18" t="s">
        <v>88</v>
      </c>
      <c r="T20" s="2">
        <v>17.8</v>
      </c>
      <c r="U20" s="2">
        <v>803.7</v>
      </c>
      <c r="V20" s="2">
        <v>87.7</v>
      </c>
      <c r="W20" s="2">
        <v>69.5</v>
      </c>
      <c r="X20" s="2">
        <v>117.4</v>
      </c>
      <c r="Y20" s="2">
        <v>422</v>
      </c>
      <c r="Z20" s="2">
        <v>128.4</v>
      </c>
      <c r="AA20" s="2">
        <v>107.5</v>
      </c>
      <c r="AB20" s="2">
        <v>84.1</v>
      </c>
      <c r="AC20" s="2">
        <v>31.1</v>
      </c>
      <c r="AD20" s="2">
        <v>63.1</v>
      </c>
      <c r="AE20" s="2">
        <v>151.4</v>
      </c>
      <c r="AF20" s="2">
        <v>61.1</v>
      </c>
      <c r="AG20">
        <v>79.599999999999994</v>
      </c>
      <c r="AH20" s="19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</row>
    <row r="21" spans="2:49">
      <c r="B21" s="46" t="s">
        <v>90</v>
      </c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25"/>
      <c r="R21" s="25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</row>
    <row r="22" spans="2:49">
      <c r="B22" s="18" t="s">
        <v>59</v>
      </c>
      <c r="C22" s="32">
        <f t="shared" ref="C22:P23" si="16">T22/C$6</f>
        <v>0.754601226993865</v>
      </c>
      <c r="D22" s="32">
        <f t="shared" si="16"/>
        <v>0.77883929844574373</v>
      </c>
      <c r="E22" s="32">
        <f t="shared" si="16"/>
        <v>0.81018027571580076</v>
      </c>
      <c r="F22" s="32">
        <f t="shared" si="16"/>
        <v>0.84518828451882844</v>
      </c>
      <c r="G22" s="32">
        <f t="shared" si="16"/>
        <v>0.81973898858075045</v>
      </c>
      <c r="H22" s="32">
        <f t="shared" si="16"/>
        <v>0.96313799621928164</v>
      </c>
      <c r="I22" s="32">
        <f t="shared" si="16"/>
        <v>0.89779874213836475</v>
      </c>
      <c r="J22" s="32">
        <f t="shared" si="16"/>
        <v>0.96078431372549034</v>
      </c>
      <c r="K22" s="32">
        <f t="shared" si="16"/>
        <v>0.8748564867967854</v>
      </c>
      <c r="L22" s="32">
        <f t="shared" si="16"/>
        <v>0.90522875816993453</v>
      </c>
      <c r="M22" s="32">
        <f t="shared" si="16"/>
        <v>0.7560321715817695</v>
      </c>
      <c r="N22" s="32">
        <f t="shared" si="16"/>
        <v>0.90466926070038922</v>
      </c>
      <c r="O22" s="32">
        <f t="shared" si="16"/>
        <v>0.92459016393442617</v>
      </c>
      <c r="P22" s="32">
        <f t="shared" si="16"/>
        <v>0.84306095979247742</v>
      </c>
      <c r="Q22" s="28"/>
      <c r="R22" s="28"/>
      <c r="S22" s="18" t="s">
        <v>59</v>
      </c>
      <c r="T22" s="2">
        <v>12.3</v>
      </c>
      <c r="U22" s="2">
        <v>546.20000000000005</v>
      </c>
      <c r="V22" s="2">
        <v>76.400000000000006</v>
      </c>
      <c r="W22" s="2">
        <v>60.6</v>
      </c>
      <c r="X22" s="2">
        <v>100.5</v>
      </c>
      <c r="Y22" s="2">
        <v>305.7</v>
      </c>
      <c r="Z22" s="2">
        <v>114.2</v>
      </c>
      <c r="AA22" s="2">
        <v>102.9</v>
      </c>
      <c r="AB22" s="2">
        <v>76.2</v>
      </c>
      <c r="AC22" s="2">
        <v>27.7</v>
      </c>
      <c r="AD22" s="2">
        <v>56.4</v>
      </c>
      <c r="AE22" s="2">
        <v>139.5</v>
      </c>
      <c r="AF22" s="2">
        <v>56.4</v>
      </c>
      <c r="AG22">
        <v>65</v>
      </c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</row>
    <row r="23" spans="2:49">
      <c r="B23" s="20" t="s">
        <v>60</v>
      </c>
      <c r="C23" s="33">
        <f t="shared" si="16"/>
        <v>0.74846625766871155</v>
      </c>
      <c r="D23" s="33">
        <f t="shared" si="16"/>
        <v>0.78040781405960358</v>
      </c>
      <c r="E23" s="33">
        <f t="shared" si="16"/>
        <v>0.79745493107104992</v>
      </c>
      <c r="F23" s="33">
        <f t="shared" si="16"/>
        <v>0.8340306834030683</v>
      </c>
      <c r="G23" s="33">
        <f t="shared" si="16"/>
        <v>0.79771615008156604</v>
      </c>
      <c r="H23" s="33">
        <f t="shared" si="16"/>
        <v>0.9161940768746063</v>
      </c>
      <c r="I23" s="33">
        <f t="shared" si="16"/>
        <v>0.89779874213836475</v>
      </c>
      <c r="J23" s="33">
        <f t="shared" si="16"/>
        <v>0.87955182072829141</v>
      </c>
      <c r="K23" s="33">
        <f t="shared" si="16"/>
        <v>0.84385763490241106</v>
      </c>
      <c r="L23" s="33">
        <f t="shared" si="16"/>
        <v>0.89215686274509798</v>
      </c>
      <c r="M23" s="33">
        <f t="shared" si="16"/>
        <v>0.73056300268096519</v>
      </c>
      <c r="N23" s="33">
        <f t="shared" si="16"/>
        <v>0.86900129701686124</v>
      </c>
      <c r="O23" s="33">
        <f t="shared" si="16"/>
        <v>0.92459016393442617</v>
      </c>
      <c r="P23" s="33">
        <f t="shared" si="16"/>
        <v>0.83527885862516227</v>
      </c>
      <c r="Q23" s="30"/>
      <c r="R23" s="30"/>
      <c r="S23" s="18" t="s">
        <v>60</v>
      </c>
      <c r="T23" s="2">
        <v>12.2</v>
      </c>
      <c r="U23" s="2">
        <v>547.29999999999995</v>
      </c>
      <c r="V23" s="2">
        <v>75.2</v>
      </c>
      <c r="W23" s="2">
        <v>59.8</v>
      </c>
      <c r="X23" s="2">
        <v>97.8</v>
      </c>
      <c r="Y23" s="2">
        <v>290.8</v>
      </c>
      <c r="Z23" s="2">
        <v>114.2</v>
      </c>
      <c r="AA23" s="2">
        <v>94.2</v>
      </c>
      <c r="AB23" s="2">
        <v>73.5</v>
      </c>
      <c r="AC23" s="2">
        <v>27.3</v>
      </c>
      <c r="AD23" s="2">
        <v>54.5</v>
      </c>
      <c r="AE23" s="2">
        <v>134</v>
      </c>
      <c r="AF23" s="2">
        <v>56.4</v>
      </c>
      <c r="AG23">
        <v>64.400000000000006</v>
      </c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</row>
    <row r="24" spans="2:49">
      <c r="B24" s="45" t="s">
        <v>98</v>
      </c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S24" s="18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</row>
    <row r="25" spans="2:49">
      <c r="B25" s="20" t="s">
        <v>61</v>
      </c>
      <c r="C25" s="22">
        <f>T25</f>
        <v>9.6</v>
      </c>
      <c r="D25" s="22">
        <f t="shared" ref="D25:P26" si="17">U25</f>
        <v>10.199999999999999</v>
      </c>
      <c r="E25" s="22">
        <f t="shared" si="17"/>
        <v>9.9</v>
      </c>
      <c r="F25" s="22">
        <f t="shared" si="17"/>
        <v>9.6999999999999993</v>
      </c>
      <c r="G25" s="22">
        <f t="shared" si="17"/>
        <v>9.9</v>
      </c>
      <c r="H25" s="22">
        <f t="shared" si="17"/>
        <v>9.6999999999999993</v>
      </c>
      <c r="I25" s="22">
        <f t="shared" si="17"/>
        <v>9.8000000000000007</v>
      </c>
      <c r="J25" s="22">
        <f t="shared" si="17"/>
        <v>9.9</v>
      </c>
      <c r="K25" s="22">
        <f t="shared" si="17"/>
        <v>9.8000000000000007</v>
      </c>
      <c r="L25" s="22">
        <f t="shared" si="17"/>
        <v>9.9</v>
      </c>
      <c r="M25" s="22">
        <f t="shared" si="17"/>
        <v>9.6</v>
      </c>
      <c r="N25" s="22">
        <f t="shared" si="17"/>
        <v>9.6</v>
      </c>
      <c r="O25" s="22">
        <f t="shared" si="17"/>
        <v>9.8000000000000007</v>
      </c>
      <c r="P25" s="22">
        <f t="shared" si="17"/>
        <v>9.6999999999999993</v>
      </c>
      <c r="S25" s="18" t="s">
        <v>30</v>
      </c>
      <c r="T25" s="2">
        <v>9.6</v>
      </c>
      <c r="U25" s="2">
        <v>10.199999999999999</v>
      </c>
      <c r="V25" s="2">
        <v>9.9</v>
      </c>
      <c r="W25" s="2">
        <v>9.6999999999999993</v>
      </c>
      <c r="X25" s="2">
        <v>9.9</v>
      </c>
      <c r="Y25" s="2">
        <v>9.6999999999999993</v>
      </c>
      <c r="Z25" s="2">
        <v>9.8000000000000007</v>
      </c>
      <c r="AA25" s="2">
        <v>9.9</v>
      </c>
      <c r="AB25" s="2">
        <v>9.8000000000000007</v>
      </c>
      <c r="AC25" s="2">
        <v>9.9</v>
      </c>
      <c r="AD25" s="2">
        <v>9.6</v>
      </c>
      <c r="AE25" s="2">
        <v>9.6</v>
      </c>
      <c r="AF25" s="2">
        <v>9.8000000000000007</v>
      </c>
      <c r="AG25" s="2">
        <v>9.6999999999999993</v>
      </c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</row>
    <row r="26" spans="2:49">
      <c r="B26" s="18" t="s">
        <v>48</v>
      </c>
      <c r="C26" s="24">
        <f>T26</f>
        <v>14.5</v>
      </c>
      <c r="D26" s="24">
        <f t="shared" si="17"/>
        <v>11</v>
      </c>
      <c r="E26" s="24">
        <f t="shared" si="17"/>
        <v>11.5</v>
      </c>
      <c r="F26" s="24">
        <f t="shared" si="17"/>
        <v>11.4</v>
      </c>
      <c r="G26" s="24">
        <f t="shared" si="17"/>
        <v>11.4</v>
      </c>
      <c r="H26" s="24">
        <f t="shared" si="17"/>
        <v>11.5</v>
      </c>
      <c r="I26" s="24">
        <f t="shared" si="17"/>
        <v>11.2</v>
      </c>
      <c r="J26" s="24">
        <f t="shared" si="17"/>
        <v>12.5</v>
      </c>
      <c r="K26" s="24">
        <f t="shared" si="17"/>
        <v>10.5</v>
      </c>
      <c r="L26" s="24">
        <f t="shared" si="17"/>
        <v>12.8</v>
      </c>
      <c r="M26" s="24">
        <f t="shared" si="17"/>
        <v>12.8</v>
      </c>
      <c r="N26" s="24">
        <f t="shared" si="17"/>
        <v>13.2</v>
      </c>
      <c r="O26" s="24">
        <f t="shared" si="17"/>
        <v>11.4</v>
      </c>
      <c r="P26" s="24">
        <f t="shared" si="17"/>
        <v>12.5</v>
      </c>
      <c r="S26" s="18" t="s">
        <v>76</v>
      </c>
      <c r="T26" s="2">
        <v>14.5</v>
      </c>
      <c r="U26" s="2">
        <v>11</v>
      </c>
      <c r="V26" s="2">
        <v>11.5</v>
      </c>
      <c r="W26" s="2">
        <v>11.4</v>
      </c>
      <c r="X26" s="2">
        <v>11.4</v>
      </c>
      <c r="Y26" s="2">
        <v>11.5</v>
      </c>
      <c r="Z26" s="2">
        <v>11.2</v>
      </c>
      <c r="AA26" s="2">
        <v>12.5</v>
      </c>
      <c r="AB26" s="2">
        <v>10.5</v>
      </c>
      <c r="AC26" s="2">
        <v>12.8</v>
      </c>
      <c r="AD26" s="2">
        <v>12.8</v>
      </c>
      <c r="AE26" s="2">
        <v>13.2</v>
      </c>
      <c r="AF26" s="2">
        <v>11.4</v>
      </c>
      <c r="AG26" s="2">
        <v>12.5</v>
      </c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</row>
    <row r="27" spans="2:49">
      <c r="B27" s="18" t="s">
        <v>58</v>
      </c>
      <c r="C27" s="24">
        <f t="shared" ref="C27:C35" si="18">T27</f>
        <v>9.8000000000000007</v>
      </c>
      <c r="D27" s="24">
        <f t="shared" ref="D27:D36" si="19">U27</f>
        <v>9.1</v>
      </c>
      <c r="E27" s="24">
        <f t="shared" ref="E27:E36" si="20">V27</f>
        <v>9.6999999999999993</v>
      </c>
      <c r="F27" s="24">
        <f t="shared" ref="F27:F36" si="21">W27</f>
        <v>9.8000000000000007</v>
      </c>
      <c r="G27" s="24">
        <f t="shared" ref="G27:G36" si="22">X27</f>
        <v>9.6999999999999993</v>
      </c>
      <c r="H27" s="24">
        <f t="shared" ref="H27:H36" si="23">Y27</f>
        <v>9.9</v>
      </c>
      <c r="I27" s="24">
        <f t="shared" ref="I27:I36" si="24">Z27</f>
        <v>9.3000000000000007</v>
      </c>
      <c r="J27" s="24">
        <f t="shared" ref="J27:J36" si="25">AA27</f>
        <v>10</v>
      </c>
      <c r="K27" s="24">
        <f t="shared" ref="K27:K36" si="26">AB27</f>
        <v>10.3</v>
      </c>
      <c r="L27" s="24">
        <f t="shared" ref="L27:L36" si="27">AC27</f>
        <v>9.5</v>
      </c>
      <c r="M27" s="24">
        <f t="shared" ref="M27:M36" si="28">AD27</f>
        <v>10.199999999999999</v>
      </c>
      <c r="N27" s="24">
        <f t="shared" ref="N27:N36" si="29">AE27</f>
        <v>9.3000000000000007</v>
      </c>
      <c r="O27" s="24">
        <f t="shared" ref="O27:O36" si="30">AF27</f>
        <v>10</v>
      </c>
      <c r="P27" s="24">
        <f t="shared" ref="P27:P36" si="31">AG27</f>
        <v>9.9</v>
      </c>
      <c r="Q27" s="23"/>
      <c r="R27" s="23"/>
      <c r="S27" s="18" t="s">
        <v>77</v>
      </c>
      <c r="T27" s="2">
        <v>9.8000000000000007</v>
      </c>
      <c r="U27" s="2">
        <v>9.1</v>
      </c>
      <c r="V27" s="2">
        <v>9.6999999999999993</v>
      </c>
      <c r="W27" s="2">
        <v>9.8000000000000007</v>
      </c>
      <c r="X27" s="2">
        <v>9.6999999999999993</v>
      </c>
      <c r="Y27" s="2">
        <v>9.9</v>
      </c>
      <c r="Z27" s="2">
        <v>9.3000000000000007</v>
      </c>
      <c r="AA27" s="2">
        <v>10</v>
      </c>
      <c r="AB27" s="2">
        <v>10.3</v>
      </c>
      <c r="AC27" s="2">
        <v>9.5</v>
      </c>
      <c r="AD27" s="2">
        <v>10.199999999999999</v>
      </c>
      <c r="AE27" s="2">
        <v>9.3000000000000007</v>
      </c>
      <c r="AF27" s="2">
        <v>10</v>
      </c>
      <c r="AG27" s="2">
        <v>9.9</v>
      </c>
      <c r="AH27" s="2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</row>
    <row r="28" spans="2:49" ht="14.45" customHeight="1">
      <c r="B28" s="18" t="s">
        <v>29</v>
      </c>
      <c r="C28" s="24">
        <f t="shared" si="18"/>
        <v>11.4</v>
      </c>
      <c r="D28" s="24">
        <f t="shared" si="19"/>
        <v>12.1</v>
      </c>
      <c r="E28" s="24">
        <f t="shared" si="20"/>
        <v>11.4</v>
      </c>
      <c r="F28" s="24">
        <f t="shared" si="21"/>
        <v>11.5</v>
      </c>
      <c r="G28" s="24">
        <f t="shared" si="22"/>
        <v>11.4</v>
      </c>
      <c r="H28" s="24">
        <f t="shared" si="23"/>
        <v>11.7</v>
      </c>
      <c r="I28" s="24">
        <f t="shared" si="24"/>
        <v>12.3</v>
      </c>
      <c r="J28" s="24">
        <f t="shared" si="25"/>
        <v>11.5</v>
      </c>
      <c r="K28" s="24">
        <f t="shared" si="26"/>
        <v>12</v>
      </c>
      <c r="L28" s="24">
        <f t="shared" si="27"/>
        <v>11.5</v>
      </c>
      <c r="M28" s="24">
        <f t="shared" si="28"/>
        <v>11.2</v>
      </c>
      <c r="N28" s="24">
        <f t="shared" si="29"/>
        <v>11.9</v>
      </c>
      <c r="O28" s="24">
        <f t="shared" si="30"/>
        <v>11.4</v>
      </c>
      <c r="P28" s="24">
        <f t="shared" si="31"/>
        <v>11.2</v>
      </c>
      <c r="Q28" s="23"/>
      <c r="R28" s="23"/>
      <c r="S28" s="18" t="s">
        <v>29</v>
      </c>
      <c r="T28" s="2">
        <v>11.4</v>
      </c>
      <c r="U28" s="2">
        <v>12.1</v>
      </c>
      <c r="V28" s="2">
        <v>11.4</v>
      </c>
      <c r="W28" s="2">
        <v>11.5</v>
      </c>
      <c r="X28" s="2">
        <v>11.4</v>
      </c>
      <c r="Y28" s="2">
        <v>11.7</v>
      </c>
      <c r="Z28" s="2">
        <v>12.3</v>
      </c>
      <c r="AA28" s="2">
        <v>11.5</v>
      </c>
      <c r="AB28" s="2">
        <v>12</v>
      </c>
      <c r="AC28" s="2">
        <v>11.5</v>
      </c>
      <c r="AD28" s="2">
        <v>11.2</v>
      </c>
      <c r="AE28" s="2">
        <v>11.9</v>
      </c>
      <c r="AF28" s="2">
        <v>11.4</v>
      </c>
      <c r="AG28" s="2">
        <v>11.2</v>
      </c>
      <c r="AH28" s="2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</row>
    <row r="29" spans="2:49" ht="14.45" customHeight="1">
      <c r="B29" s="18" t="s">
        <v>31</v>
      </c>
      <c r="C29" s="24">
        <f t="shared" si="18"/>
        <v>9.5</v>
      </c>
      <c r="D29" s="24">
        <f t="shared" si="19"/>
        <v>10.1</v>
      </c>
      <c r="E29" s="24">
        <f t="shared" si="20"/>
        <v>9.3000000000000007</v>
      </c>
      <c r="F29" s="24">
        <f t="shared" si="21"/>
        <v>9.6999999999999993</v>
      </c>
      <c r="G29" s="24">
        <f t="shared" si="22"/>
        <v>9.1</v>
      </c>
      <c r="H29" s="24">
        <f t="shared" si="23"/>
        <v>9.8000000000000007</v>
      </c>
      <c r="I29" s="24">
        <f t="shared" si="24"/>
        <v>9.8000000000000007</v>
      </c>
      <c r="J29" s="24">
        <f t="shared" si="25"/>
        <v>9.1</v>
      </c>
      <c r="K29" s="24">
        <f t="shared" si="26"/>
        <v>9.6</v>
      </c>
      <c r="L29" s="24">
        <f t="shared" si="27"/>
        <v>9.4</v>
      </c>
      <c r="M29" s="24">
        <f t="shared" si="28"/>
        <v>9.1999999999999993</v>
      </c>
      <c r="N29" s="24">
        <f t="shared" si="29"/>
        <v>9.3000000000000007</v>
      </c>
      <c r="O29" s="24">
        <f t="shared" si="30"/>
        <v>9.5</v>
      </c>
      <c r="P29" s="24">
        <f t="shared" si="31"/>
        <v>9.3000000000000007</v>
      </c>
      <c r="Q29" s="23"/>
      <c r="R29" s="23"/>
      <c r="S29" s="18" t="s">
        <v>31</v>
      </c>
      <c r="T29" s="2">
        <v>9.5</v>
      </c>
      <c r="U29" s="2">
        <v>10.1</v>
      </c>
      <c r="V29" s="2">
        <v>9.3000000000000007</v>
      </c>
      <c r="W29" s="2">
        <v>9.6999999999999993</v>
      </c>
      <c r="X29" s="2">
        <v>9.1</v>
      </c>
      <c r="Y29" s="2">
        <v>9.8000000000000007</v>
      </c>
      <c r="Z29" s="2">
        <v>9.8000000000000007</v>
      </c>
      <c r="AA29" s="2">
        <v>9.1</v>
      </c>
      <c r="AB29" s="2">
        <v>9.6</v>
      </c>
      <c r="AC29" s="2">
        <v>9.4</v>
      </c>
      <c r="AD29" s="2">
        <v>9.1999999999999993</v>
      </c>
      <c r="AE29" s="2">
        <v>9.3000000000000007</v>
      </c>
      <c r="AF29" s="2">
        <v>9.5</v>
      </c>
      <c r="AG29" s="2">
        <v>9.3000000000000007</v>
      </c>
      <c r="AH29" s="2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</row>
    <row r="30" spans="2:49">
      <c r="B30" s="18" t="s">
        <v>32</v>
      </c>
      <c r="C30" s="24">
        <f t="shared" si="18"/>
        <v>9.1999999999999993</v>
      </c>
      <c r="D30" s="24">
        <f t="shared" si="19"/>
        <v>9.5</v>
      </c>
      <c r="E30" s="24">
        <f t="shared" si="20"/>
        <v>9.4</v>
      </c>
      <c r="F30" s="24">
        <f t="shared" si="21"/>
        <v>9.3000000000000007</v>
      </c>
      <c r="G30" s="24">
        <f t="shared" si="22"/>
        <v>9.3000000000000007</v>
      </c>
      <c r="H30" s="24">
        <f t="shared" si="23"/>
        <v>9.4</v>
      </c>
      <c r="I30" s="24">
        <f t="shared" si="24"/>
        <v>9.6999999999999993</v>
      </c>
      <c r="J30" s="24">
        <f t="shared" si="25"/>
        <v>9</v>
      </c>
      <c r="K30" s="24">
        <f t="shared" si="26"/>
        <v>9.4</v>
      </c>
      <c r="L30" s="24">
        <f t="shared" si="27"/>
        <v>9.4</v>
      </c>
      <c r="M30" s="24">
        <f t="shared" si="28"/>
        <v>9.1</v>
      </c>
      <c r="N30" s="24">
        <f t="shared" si="29"/>
        <v>9.1999999999999993</v>
      </c>
      <c r="O30" s="24">
        <f t="shared" si="30"/>
        <v>9.4</v>
      </c>
      <c r="P30" s="24">
        <f t="shared" si="31"/>
        <v>9.5</v>
      </c>
      <c r="Q30" s="27"/>
      <c r="R30" s="27"/>
      <c r="S30" s="18" t="s">
        <v>32</v>
      </c>
      <c r="T30" s="2">
        <v>9.1999999999999993</v>
      </c>
      <c r="U30" s="2">
        <v>9.5</v>
      </c>
      <c r="V30" s="2">
        <v>9.4</v>
      </c>
      <c r="W30" s="2">
        <v>9.3000000000000007</v>
      </c>
      <c r="X30" s="2">
        <v>9.3000000000000007</v>
      </c>
      <c r="Y30" s="2">
        <v>9.4</v>
      </c>
      <c r="Z30" s="2">
        <v>9.6999999999999993</v>
      </c>
      <c r="AA30" s="2">
        <v>9</v>
      </c>
      <c r="AB30" s="2">
        <v>9.4</v>
      </c>
      <c r="AC30" s="2">
        <v>9.4</v>
      </c>
      <c r="AD30" s="2">
        <v>9.1</v>
      </c>
      <c r="AE30" s="2">
        <v>9.1999999999999993</v>
      </c>
      <c r="AF30" s="2">
        <v>9.4</v>
      </c>
      <c r="AG30" s="2">
        <v>9.5</v>
      </c>
      <c r="AH30" s="2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</row>
    <row r="31" spans="2:49">
      <c r="B31" s="18" t="s">
        <v>33</v>
      </c>
      <c r="C31" s="24">
        <f t="shared" si="18"/>
        <v>9.6</v>
      </c>
      <c r="D31" s="24">
        <f t="shared" si="19"/>
        <v>10.1</v>
      </c>
      <c r="E31" s="24">
        <f t="shared" si="20"/>
        <v>10</v>
      </c>
      <c r="F31" s="24">
        <f t="shared" si="21"/>
        <v>9.5</v>
      </c>
      <c r="G31" s="24">
        <f t="shared" si="22"/>
        <v>9.6999999999999993</v>
      </c>
      <c r="H31" s="24">
        <f t="shared" si="23"/>
        <v>9.9</v>
      </c>
      <c r="I31" s="24">
        <f t="shared" si="24"/>
        <v>10.5</v>
      </c>
      <c r="J31" s="24">
        <f t="shared" si="25"/>
        <v>9.6</v>
      </c>
      <c r="K31" s="24">
        <f t="shared" si="26"/>
        <v>10</v>
      </c>
      <c r="L31" s="24">
        <f t="shared" si="27"/>
        <v>9.8000000000000007</v>
      </c>
      <c r="M31" s="24">
        <f t="shared" si="28"/>
        <v>9.6999999999999993</v>
      </c>
      <c r="N31" s="24">
        <f t="shared" si="29"/>
        <v>10.5</v>
      </c>
      <c r="O31" s="24">
        <f t="shared" si="30"/>
        <v>9.6</v>
      </c>
      <c r="P31" s="24">
        <f t="shared" si="31"/>
        <v>9.6</v>
      </c>
      <c r="Q31" s="27"/>
      <c r="R31" s="27"/>
      <c r="S31" s="18" t="s">
        <v>33</v>
      </c>
      <c r="T31" s="2">
        <v>9.6</v>
      </c>
      <c r="U31" s="2">
        <v>10.1</v>
      </c>
      <c r="V31" s="2">
        <v>10</v>
      </c>
      <c r="W31" s="2">
        <v>9.5</v>
      </c>
      <c r="X31" s="2">
        <v>9.6999999999999993</v>
      </c>
      <c r="Y31" s="2">
        <v>9.9</v>
      </c>
      <c r="Z31" s="2">
        <v>10.5</v>
      </c>
      <c r="AA31" s="2">
        <v>9.6</v>
      </c>
      <c r="AB31" s="2">
        <v>10</v>
      </c>
      <c r="AC31" s="2">
        <v>9.8000000000000007</v>
      </c>
      <c r="AD31" s="2">
        <v>9.6999999999999993</v>
      </c>
      <c r="AE31" s="2">
        <v>10.5</v>
      </c>
      <c r="AF31" s="2">
        <v>9.6</v>
      </c>
      <c r="AG31" s="2">
        <v>9.6</v>
      </c>
      <c r="AH31" s="2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</row>
    <row r="32" spans="2:49">
      <c r="B32" s="18" t="s">
        <v>95</v>
      </c>
      <c r="C32" s="24">
        <f t="shared" si="18"/>
        <v>10.199999999999999</v>
      </c>
      <c r="D32" s="24">
        <f t="shared" si="19"/>
        <v>10.199999999999999</v>
      </c>
      <c r="E32" s="24">
        <f t="shared" si="20"/>
        <v>10.8</v>
      </c>
      <c r="F32" s="24">
        <f t="shared" si="21"/>
        <v>10.7</v>
      </c>
      <c r="G32" s="24">
        <f t="shared" si="22"/>
        <v>10.8</v>
      </c>
      <c r="H32" s="24">
        <f t="shared" si="23"/>
        <v>10.4</v>
      </c>
      <c r="I32" s="24">
        <f t="shared" si="24"/>
        <v>9.8000000000000007</v>
      </c>
      <c r="J32" s="24">
        <f t="shared" si="25"/>
        <v>10.9</v>
      </c>
      <c r="K32" s="24">
        <f t="shared" si="26"/>
        <v>10.4</v>
      </c>
      <c r="L32" s="24">
        <f t="shared" si="27"/>
        <v>10.6</v>
      </c>
      <c r="M32" s="24">
        <f t="shared" si="28"/>
        <v>11.2</v>
      </c>
      <c r="N32" s="24">
        <f t="shared" si="29"/>
        <v>10.3</v>
      </c>
      <c r="O32" s="24">
        <f t="shared" si="30"/>
        <v>10.7</v>
      </c>
      <c r="P32" s="24">
        <f t="shared" si="31"/>
        <v>11.1</v>
      </c>
      <c r="Q32" s="27"/>
      <c r="R32" s="27"/>
      <c r="S32" s="18" t="s">
        <v>79</v>
      </c>
      <c r="T32" s="2">
        <v>10.199999999999999</v>
      </c>
      <c r="U32" s="2">
        <v>10.199999999999999</v>
      </c>
      <c r="V32" s="2">
        <v>10.8</v>
      </c>
      <c r="W32" s="2">
        <v>10.7</v>
      </c>
      <c r="X32" s="2">
        <v>10.8</v>
      </c>
      <c r="Y32" s="2">
        <v>10.4</v>
      </c>
      <c r="Z32" s="2">
        <v>9.8000000000000007</v>
      </c>
      <c r="AA32" s="2">
        <v>10.9</v>
      </c>
      <c r="AB32" s="2">
        <v>10.4</v>
      </c>
      <c r="AC32" s="2">
        <v>10.6</v>
      </c>
      <c r="AD32" s="2">
        <v>11.2</v>
      </c>
      <c r="AE32" s="2">
        <v>10.3</v>
      </c>
      <c r="AF32" s="2">
        <v>10.7</v>
      </c>
      <c r="AG32" s="2">
        <v>11.1</v>
      </c>
      <c r="AH32" s="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</row>
    <row r="33" spans="2:49">
      <c r="B33" s="18" t="s">
        <v>94</v>
      </c>
      <c r="C33" s="24">
        <f t="shared" si="18"/>
        <v>9.1</v>
      </c>
      <c r="D33" s="24">
        <f t="shared" si="19"/>
        <v>9.3000000000000007</v>
      </c>
      <c r="E33" s="24">
        <f t="shared" si="20"/>
        <v>9.4</v>
      </c>
      <c r="F33" s="24">
        <f t="shared" si="21"/>
        <v>9.3000000000000007</v>
      </c>
      <c r="G33" s="24">
        <f t="shared" si="22"/>
        <v>9.4</v>
      </c>
      <c r="H33" s="24">
        <f t="shared" si="23"/>
        <v>8.9</v>
      </c>
      <c r="I33" s="24">
        <f t="shared" si="24"/>
        <v>9</v>
      </c>
      <c r="J33" s="24">
        <f t="shared" si="25"/>
        <v>9.1999999999999993</v>
      </c>
      <c r="K33" s="24">
        <f t="shared" si="26"/>
        <v>9.1999999999999993</v>
      </c>
      <c r="L33" s="24">
        <f t="shared" si="27"/>
        <v>9.4</v>
      </c>
      <c r="M33" s="24">
        <f t="shared" si="28"/>
        <v>8.9</v>
      </c>
      <c r="N33" s="24">
        <f t="shared" si="29"/>
        <v>8.8000000000000007</v>
      </c>
      <c r="O33" s="24">
        <f t="shared" si="30"/>
        <v>9.3000000000000007</v>
      </c>
      <c r="P33" s="24">
        <f t="shared" si="31"/>
        <v>9.1</v>
      </c>
      <c r="Q33" s="27"/>
      <c r="R33" s="27"/>
      <c r="S33" s="18" t="s">
        <v>78</v>
      </c>
      <c r="T33" s="2">
        <v>9.1</v>
      </c>
      <c r="U33" s="2">
        <v>9.3000000000000007</v>
      </c>
      <c r="V33" s="2">
        <v>9.4</v>
      </c>
      <c r="W33" s="2">
        <v>9.3000000000000007</v>
      </c>
      <c r="X33" s="2">
        <v>9.4</v>
      </c>
      <c r="Y33" s="2">
        <v>8.9</v>
      </c>
      <c r="Z33" s="2">
        <v>9</v>
      </c>
      <c r="AA33" s="2">
        <v>9.1999999999999993</v>
      </c>
      <c r="AB33" s="2">
        <v>9.1999999999999993</v>
      </c>
      <c r="AC33" s="2">
        <v>9.4</v>
      </c>
      <c r="AD33" s="2">
        <v>8.9</v>
      </c>
      <c r="AE33" s="2">
        <v>8.8000000000000007</v>
      </c>
      <c r="AF33" s="2">
        <v>9.3000000000000007</v>
      </c>
      <c r="AG33" s="2">
        <v>9.1</v>
      </c>
      <c r="AH33" s="2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</row>
    <row r="34" spans="2:49">
      <c r="B34" s="17" t="s">
        <v>91</v>
      </c>
      <c r="C34" s="24">
        <f t="shared" si="18"/>
        <v>9.5</v>
      </c>
      <c r="D34" s="24">
        <f t="shared" si="19"/>
        <v>9.1999999999999993</v>
      </c>
      <c r="E34" s="24">
        <f t="shared" si="20"/>
        <v>9.4</v>
      </c>
      <c r="F34" s="24">
        <f t="shared" si="21"/>
        <v>9.6</v>
      </c>
      <c r="G34" s="24">
        <f t="shared" si="22"/>
        <v>9.3000000000000007</v>
      </c>
      <c r="H34" s="24">
        <f t="shared" si="23"/>
        <v>9.1999999999999993</v>
      </c>
      <c r="I34" s="24">
        <f t="shared" si="24"/>
        <v>10</v>
      </c>
      <c r="J34" s="24">
        <f t="shared" si="25"/>
        <v>9.3000000000000007</v>
      </c>
      <c r="K34" s="24">
        <f t="shared" si="26"/>
        <v>9.5</v>
      </c>
      <c r="L34" s="24">
        <f t="shared" si="27"/>
        <v>9.5</v>
      </c>
      <c r="M34" s="24">
        <f t="shared" si="28"/>
        <v>9.3000000000000007</v>
      </c>
      <c r="N34" s="24">
        <f t="shared" si="29"/>
        <v>9.6</v>
      </c>
      <c r="O34" s="24">
        <f t="shared" si="30"/>
        <v>9.3000000000000007</v>
      </c>
      <c r="P34" s="24">
        <f t="shared" si="31"/>
        <v>9.4</v>
      </c>
      <c r="Q34" s="27"/>
      <c r="R34" s="27"/>
      <c r="S34" s="18" t="s">
        <v>83</v>
      </c>
      <c r="T34" s="2">
        <v>9.5</v>
      </c>
      <c r="U34" s="2">
        <v>9.1999999999999993</v>
      </c>
      <c r="V34" s="2">
        <v>9.4</v>
      </c>
      <c r="W34" s="2">
        <v>9.6</v>
      </c>
      <c r="X34" s="2">
        <v>9.3000000000000007</v>
      </c>
      <c r="Y34" s="2">
        <v>9.1999999999999993</v>
      </c>
      <c r="Z34" s="2">
        <v>10</v>
      </c>
      <c r="AA34" s="2">
        <v>9.3000000000000007</v>
      </c>
      <c r="AB34" s="2">
        <v>9.5</v>
      </c>
      <c r="AC34" s="2">
        <v>9.5</v>
      </c>
      <c r="AD34" s="2">
        <v>9.3000000000000007</v>
      </c>
      <c r="AE34" s="2">
        <v>9.6</v>
      </c>
      <c r="AF34" s="2">
        <v>9.3000000000000007</v>
      </c>
      <c r="AG34" s="2">
        <v>9.4</v>
      </c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</row>
    <row r="35" spans="2:49">
      <c r="B35" s="17" t="s">
        <v>57</v>
      </c>
      <c r="C35" s="24">
        <f t="shared" si="18"/>
        <v>10.7</v>
      </c>
      <c r="D35" s="24">
        <f t="shared" si="19"/>
        <v>11.7</v>
      </c>
      <c r="E35" s="24">
        <f t="shared" si="20"/>
        <v>12.3</v>
      </c>
      <c r="F35" s="24">
        <f t="shared" si="21"/>
        <v>12</v>
      </c>
      <c r="G35" s="24">
        <f t="shared" si="22"/>
        <v>11.9</v>
      </c>
      <c r="H35" s="24">
        <f t="shared" si="23"/>
        <v>12</v>
      </c>
      <c r="I35" s="24">
        <f t="shared" si="24"/>
        <v>11.2</v>
      </c>
      <c r="J35" s="24">
        <f t="shared" si="25"/>
        <v>12</v>
      </c>
      <c r="K35" s="24">
        <f t="shared" si="26"/>
        <v>11.6</v>
      </c>
      <c r="L35" s="24">
        <f t="shared" si="27"/>
        <v>11.1</v>
      </c>
      <c r="M35" s="24">
        <f t="shared" si="28"/>
        <v>12.3</v>
      </c>
      <c r="N35" s="24">
        <f t="shared" si="29"/>
        <v>11.9</v>
      </c>
      <c r="O35" s="24">
        <f t="shared" si="30"/>
        <v>12.2</v>
      </c>
      <c r="P35" s="24">
        <f t="shared" si="31"/>
        <v>12.2</v>
      </c>
      <c r="Q35" s="27"/>
      <c r="R35" s="27"/>
      <c r="S35" s="18" t="s">
        <v>81</v>
      </c>
      <c r="T35" s="2">
        <v>10.7</v>
      </c>
      <c r="U35" s="2">
        <v>11.7</v>
      </c>
      <c r="V35" s="2">
        <v>12.3</v>
      </c>
      <c r="W35" s="2">
        <v>12</v>
      </c>
      <c r="X35" s="2">
        <v>11.9</v>
      </c>
      <c r="Y35" s="2">
        <v>12</v>
      </c>
      <c r="Z35" s="2">
        <v>11.2</v>
      </c>
      <c r="AA35" s="2">
        <v>12</v>
      </c>
      <c r="AB35" s="2">
        <v>11.6</v>
      </c>
      <c r="AC35" s="2">
        <v>11.1</v>
      </c>
      <c r="AD35" s="2">
        <v>12.3</v>
      </c>
      <c r="AE35" s="2">
        <v>11.9</v>
      </c>
      <c r="AF35" s="2">
        <v>12.2</v>
      </c>
      <c r="AG35" s="2">
        <v>12.2</v>
      </c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</row>
    <row r="36" spans="2:49">
      <c r="B36" s="18" t="s">
        <v>89</v>
      </c>
      <c r="C36" s="24">
        <f>T36</f>
        <v>9.4</v>
      </c>
      <c r="D36" s="24">
        <f t="shared" si="19"/>
        <v>9.6</v>
      </c>
      <c r="E36" s="24">
        <f t="shared" si="20"/>
        <v>10</v>
      </c>
      <c r="F36" s="24">
        <f t="shared" si="21"/>
        <v>10</v>
      </c>
      <c r="G36" s="24">
        <f t="shared" si="22"/>
        <v>10</v>
      </c>
      <c r="H36" s="24">
        <f t="shared" si="23"/>
        <v>9.6999999999999993</v>
      </c>
      <c r="I36" s="24">
        <f t="shared" si="24"/>
        <v>9.4</v>
      </c>
      <c r="J36" s="24">
        <f t="shared" si="25"/>
        <v>9.8000000000000007</v>
      </c>
      <c r="K36" s="24">
        <f t="shared" si="26"/>
        <v>9.6999999999999993</v>
      </c>
      <c r="L36" s="24">
        <f t="shared" si="27"/>
        <v>9.5</v>
      </c>
      <c r="M36" s="24">
        <f t="shared" si="28"/>
        <v>9.8000000000000007</v>
      </c>
      <c r="N36" s="24">
        <f t="shared" si="29"/>
        <v>9.6</v>
      </c>
      <c r="O36" s="24">
        <f t="shared" si="30"/>
        <v>10.199999999999999</v>
      </c>
      <c r="P36" s="24">
        <f t="shared" si="31"/>
        <v>9.8000000000000007</v>
      </c>
      <c r="Q36" s="27"/>
      <c r="R36" s="27"/>
      <c r="S36" s="18" t="s">
        <v>80</v>
      </c>
      <c r="T36" s="2">
        <v>9.4</v>
      </c>
      <c r="U36" s="2">
        <v>9.6</v>
      </c>
      <c r="V36" s="2">
        <v>10</v>
      </c>
      <c r="W36" s="2">
        <v>10</v>
      </c>
      <c r="X36" s="2">
        <v>10</v>
      </c>
      <c r="Y36" s="2">
        <v>9.6999999999999993</v>
      </c>
      <c r="Z36" s="2">
        <v>9.4</v>
      </c>
      <c r="AA36" s="2">
        <v>9.8000000000000007</v>
      </c>
      <c r="AB36" s="2">
        <v>9.6999999999999993</v>
      </c>
      <c r="AC36" s="2">
        <v>9.5</v>
      </c>
      <c r="AD36" s="2">
        <v>9.8000000000000007</v>
      </c>
      <c r="AE36" s="2">
        <v>9.6</v>
      </c>
      <c r="AF36" s="2">
        <v>10.199999999999999</v>
      </c>
      <c r="AG36" s="2">
        <v>9.8000000000000007</v>
      </c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</row>
    <row r="37" spans="2:49">
      <c r="B37" s="46" t="s">
        <v>99</v>
      </c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27"/>
      <c r="R37" s="27"/>
      <c r="S37" s="18"/>
      <c r="AG37" s="2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</row>
    <row r="38" spans="2:49">
      <c r="B38" s="17" t="s">
        <v>92</v>
      </c>
      <c r="C38" s="34">
        <f>T38</f>
        <v>9.5</v>
      </c>
      <c r="D38" s="34">
        <f t="shared" ref="D38:P39" si="32">U38</f>
        <v>9.1</v>
      </c>
      <c r="E38" s="34">
        <f t="shared" si="32"/>
        <v>9.3000000000000007</v>
      </c>
      <c r="F38" s="34">
        <f t="shared" si="32"/>
        <v>9.6999999999999993</v>
      </c>
      <c r="G38" s="34">
        <f t="shared" si="32"/>
        <v>9.3000000000000007</v>
      </c>
      <c r="H38" s="34">
        <f t="shared" si="32"/>
        <v>9.1999999999999993</v>
      </c>
      <c r="I38" s="34">
        <f t="shared" si="32"/>
        <v>9.9</v>
      </c>
      <c r="J38" s="34">
        <f t="shared" si="32"/>
        <v>9.3000000000000007</v>
      </c>
      <c r="K38" s="34">
        <f t="shared" si="32"/>
        <v>9.5</v>
      </c>
      <c r="L38" s="34">
        <f t="shared" si="32"/>
        <v>9.5</v>
      </c>
      <c r="M38" s="34">
        <f t="shared" si="32"/>
        <v>9.3000000000000007</v>
      </c>
      <c r="N38" s="34">
        <f t="shared" si="32"/>
        <v>9.6</v>
      </c>
      <c r="O38" s="34">
        <f t="shared" si="32"/>
        <v>9.3000000000000007</v>
      </c>
      <c r="P38" s="34">
        <f t="shared" si="32"/>
        <v>9.4</v>
      </c>
      <c r="Q38" s="27"/>
      <c r="R38" s="27"/>
      <c r="S38" s="18" t="s">
        <v>84</v>
      </c>
      <c r="T38" s="2">
        <v>9.5</v>
      </c>
      <c r="U38" s="2">
        <v>9.1</v>
      </c>
      <c r="V38" s="2">
        <v>9.3000000000000007</v>
      </c>
      <c r="W38" s="2">
        <v>9.6999999999999993</v>
      </c>
      <c r="X38" s="2">
        <v>9.3000000000000007</v>
      </c>
      <c r="Y38" s="2">
        <v>9.1999999999999993</v>
      </c>
      <c r="Z38" s="2">
        <v>9.9</v>
      </c>
      <c r="AA38" s="2">
        <v>9.3000000000000007</v>
      </c>
      <c r="AB38" s="2">
        <v>9.5</v>
      </c>
      <c r="AC38" s="2">
        <v>9.5</v>
      </c>
      <c r="AD38" s="2">
        <v>9.3000000000000007</v>
      </c>
      <c r="AE38" s="2">
        <v>9.6</v>
      </c>
      <c r="AF38" s="2">
        <v>9.3000000000000007</v>
      </c>
      <c r="AG38" s="2">
        <v>9.4</v>
      </c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</row>
    <row r="39" spans="2:49">
      <c r="B39" s="17" t="s">
        <v>88</v>
      </c>
      <c r="C39" s="36">
        <f>T39</f>
        <v>9.6999999999999993</v>
      </c>
      <c r="D39" s="36">
        <f t="shared" si="32"/>
        <v>10.4</v>
      </c>
      <c r="E39" s="36">
        <f t="shared" si="32"/>
        <v>9.9</v>
      </c>
      <c r="F39" s="36">
        <f t="shared" si="32"/>
        <v>9.6</v>
      </c>
      <c r="G39" s="36">
        <f t="shared" si="32"/>
        <v>10.199999999999999</v>
      </c>
      <c r="H39" s="36">
        <f t="shared" si="32"/>
        <v>10.1</v>
      </c>
      <c r="I39" s="36">
        <f t="shared" si="32"/>
        <v>9.6</v>
      </c>
      <c r="J39" s="36">
        <f t="shared" si="32"/>
        <v>10</v>
      </c>
      <c r="K39" s="36">
        <f t="shared" si="32"/>
        <v>9.6999999999999993</v>
      </c>
      <c r="L39" s="36">
        <f t="shared" si="32"/>
        <v>9.8000000000000007</v>
      </c>
      <c r="M39" s="36">
        <f t="shared" si="32"/>
        <v>9.6999999999999993</v>
      </c>
      <c r="N39" s="36">
        <f t="shared" si="32"/>
        <v>9.6999999999999993</v>
      </c>
      <c r="O39" s="36">
        <f t="shared" si="32"/>
        <v>9.9</v>
      </c>
      <c r="P39" s="36">
        <f t="shared" si="32"/>
        <v>9.5</v>
      </c>
      <c r="Q39" s="27"/>
      <c r="R39" s="27"/>
      <c r="S39" s="18" t="s">
        <v>82</v>
      </c>
      <c r="T39" s="2">
        <v>9.6999999999999993</v>
      </c>
      <c r="U39" s="2">
        <v>10.4</v>
      </c>
      <c r="V39" s="2">
        <v>9.9</v>
      </c>
      <c r="W39" s="2">
        <v>9.6</v>
      </c>
      <c r="X39" s="2">
        <v>10.199999999999999</v>
      </c>
      <c r="Y39" s="2">
        <v>10.1</v>
      </c>
      <c r="Z39" s="2">
        <v>9.6</v>
      </c>
      <c r="AA39" s="2">
        <v>10</v>
      </c>
      <c r="AB39" s="2">
        <v>9.6999999999999993</v>
      </c>
      <c r="AC39" s="2">
        <v>9.8000000000000007</v>
      </c>
      <c r="AD39" s="2">
        <v>9.6999999999999993</v>
      </c>
      <c r="AE39" s="2">
        <v>9.6999999999999993</v>
      </c>
      <c r="AF39" s="2">
        <v>9.9</v>
      </c>
      <c r="AG39" s="2">
        <v>9.5</v>
      </c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</row>
    <row r="40" spans="2:49">
      <c r="B40" s="46" t="s">
        <v>100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27"/>
      <c r="R40" s="27"/>
      <c r="S40" s="18"/>
      <c r="AG40" s="2"/>
      <c r="AH40" s="19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</row>
    <row r="41" spans="2:49">
      <c r="B41" s="18" t="s">
        <v>59</v>
      </c>
      <c r="C41" s="34">
        <f>T41</f>
        <v>8.9</v>
      </c>
      <c r="D41" s="34">
        <f t="shared" ref="D41:P42" si="33">U41</f>
        <v>9</v>
      </c>
      <c r="E41" s="34">
        <f t="shared" si="33"/>
        <v>8.9</v>
      </c>
      <c r="F41" s="34">
        <f t="shared" si="33"/>
        <v>9</v>
      </c>
      <c r="G41" s="34">
        <f t="shared" si="33"/>
        <v>9</v>
      </c>
      <c r="H41" s="34">
        <f t="shared" si="33"/>
        <v>8.9</v>
      </c>
      <c r="I41" s="34">
        <f t="shared" si="33"/>
        <v>9.1</v>
      </c>
      <c r="J41" s="34">
        <f t="shared" si="33"/>
        <v>8.8000000000000007</v>
      </c>
      <c r="K41" s="34">
        <f t="shared" si="33"/>
        <v>9.1999999999999993</v>
      </c>
      <c r="L41" s="34">
        <f t="shared" si="33"/>
        <v>9.1</v>
      </c>
      <c r="M41" s="34">
        <f t="shared" si="33"/>
        <v>8.9</v>
      </c>
      <c r="N41" s="34">
        <f t="shared" si="33"/>
        <v>9</v>
      </c>
      <c r="O41" s="34">
        <f t="shared" si="33"/>
        <v>9</v>
      </c>
      <c r="P41" s="34">
        <f t="shared" si="33"/>
        <v>8.9</v>
      </c>
      <c r="Q41" s="27"/>
      <c r="R41" s="27"/>
      <c r="S41" s="18" t="s">
        <v>85</v>
      </c>
      <c r="T41" s="2">
        <v>8.9</v>
      </c>
      <c r="U41" s="2">
        <v>9</v>
      </c>
      <c r="V41" s="2">
        <v>8.9</v>
      </c>
      <c r="W41" s="2">
        <v>9</v>
      </c>
      <c r="X41" s="2">
        <v>9</v>
      </c>
      <c r="Y41" s="2">
        <v>8.9</v>
      </c>
      <c r="Z41" s="2">
        <v>9.1</v>
      </c>
      <c r="AA41" s="2">
        <v>8.8000000000000007</v>
      </c>
      <c r="AB41" s="2">
        <v>9.1999999999999993</v>
      </c>
      <c r="AC41" s="2">
        <v>9.1</v>
      </c>
      <c r="AD41" s="2">
        <v>8.9</v>
      </c>
      <c r="AE41" s="2">
        <v>9</v>
      </c>
      <c r="AF41" s="2">
        <v>9</v>
      </c>
      <c r="AG41" s="2">
        <v>8.9</v>
      </c>
      <c r="AH41" s="19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</row>
    <row r="42" spans="2:49" ht="15.75" thickBot="1">
      <c r="B42" s="21" t="s">
        <v>60</v>
      </c>
      <c r="C42" s="35">
        <f>T42</f>
        <v>8.9</v>
      </c>
      <c r="D42" s="35">
        <f t="shared" si="33"/>
        <v>9</v>
      </c>
      <c r="E42" s="35">
        <f t="shared" si="33"/>
        <v>9.1</v>
      </c>
      <c r="F42" s="35">
        <f t="shared" si="33"/>
        <v>9.1</v>
      </c>
      <c r="G42" s="35">
        <f t="shared" si="33"/>
        <v>9</v>
      </c>
      <c r="H42" s="35">
        <f t="shared" si="33"/>
        <v>8.9</v>
      </c>
      <c r="I42" s="35">
        <f t="shared" si="33"/>
        <v>9.1999999999999993</v>
      </c>
      <c r="J42" s="35">
        <f t="shared" si="33"/>
        <v>8.8000000000000007</v>
      </c>
      <c r="K42" s="35">
        <f t="shared" si="33"/>
        <v>9.3000000000000007</v>
      </c>
      <c r="L42" s="35">
        <f t="shared" si="33"/>
        <v>9.1</v>
      </c>
      <c r="M42" s="35">
        <f t="shared" si="33"/>
        <v>9.1</v>
      </c>
      <c r="N42" s="35">
        <f t="shared" si="33"/>
        <v>8.9</v>
      </c>
      <c r="O42" s="35">
        <f t="shared" si="33"/>
        <v>9.1</v>
      </c>
      <c r="P42" s="35">
        <f t="shared" si="33"/>
        <v>9.1999999999999993</v>
      </c>
      <c r="Q42" s="27"/>
      <c r="R42" s="27"/>
      <c r="S42" s="18" t="s">
        <v>86</v>
      </c>
      <c r="T42" s="2">
        <v>8.9</v>
      </c>
      <c r="U42" s="2">
        <v>9</v>
      </c>
      <c r="V42" s="2">
        <v>9.1</v>
      </c>
      <c r="W42" s="2">
        <v>9.1</v>
      </c>
      <c r="X42" s="2">
        <v>9</v>
      </c>
      <c r="Y42" s="2">
        <v>8.9</v>
      </c>
      <c r="Z42" s="2">
        <v>9.1999999999999993</v>
      </c>
      <c r="AA42" s="2">
        <v>8.8000000000000007</v>
      </c>
      <c r="AB42" s="2">
        <v>9.3000000000000007</v>
      </c>
      <c r="AC42" s="2">
        <v>9.1</v>
      </c>
      <c r="AD42" s="2">
        <v>9.1</v>
      </c>
      <c r="AE42" s="2">
        <v>8.9</v>
      </c>
      <c r="AF42" s="2">
        <v>9.1</v>
      </c>
      <c r="AG42" s="2">
        <v>9.1999999999999993</v>
      </c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</row>
    <row r="43" spans="2:49" ht="15" customHeight="1">
      <c r="B43" s="43" t="s">
        <v>101</v>
      </c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27"/>
      <c r="R43" s="27"/>
      <c r="S43" s="18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</row>
    <row r="44" spans="2:49" ht="14.45" customHeight="1"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27"/>
      <c r="R44" s="27"/>
      <c r="S44" s="18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</row>
    <row r="45" spans="2:49"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27"/>
      <c r="R45" s="27"/>
      <c r="S45" s="18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</row>
    <row r="46" spans="2:49"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27"/>
      <c r="R46" s="27"/>
      <c r="S46" s="18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</row>
    <row r="47" spans="2:49"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27"/>
      <c r="R47" s="27"/>
      <c r="S47" s="18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</row>
    <row r="48" spans="2:49"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27"/>
      <c r="R48" s="27"/>
      <c r="S48" s="1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</row>
    <row r="49" spans="2:49"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27"/>
      <c r="R49" s="27"/>
      <c r="S49" s="18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</row>
    <row r="50" spans="2:49">
      <c r="B50" s="26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18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</row>
    <row r="51" spans="2:49">
      <c r="B51" s="26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18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</row>
    <row r="52" spans="2:49">
      <c r="B52" s="26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18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</row>
    <row r="53" spans="2:49">
      <c r="B53" s="26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</row>
    <row r="54" spans="2:49">
      <c r="B54" s="26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18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</row>
    <row r="55" spans="2:49">
      <c r="B55" s="26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18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</row>
    <row r="56" spans="2:49">
      <c r="B56" s="26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</row>
    <row r="57" spans="2:49">
      <c r="B57" s="17"/>
      <c r="S57" s="18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</row>
    <row r="58" spans="2:49">
      <c r="B58" s="17"/>
      <c r="S58" s="1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</row>
    <row r="59" spans="2:49">
      <c r="B59" s="17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</row>
    <row r="60" spans="2:49">
      <c r="B60" s="17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</row>
    <row r="61" spans="2:49">
      <c r="B61" s="17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</row>
    <row r="62" spans="2:49">
      <c r="B62" s="17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</row>
    <row r="63" spans="2:49">
      <c r="B63" s="17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</row>
    <row r="64" spans="2:49"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</row>
    <row r="65" spans="2:49"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</row>
    <row r="66" spans="2:49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</row>
    <row r="67" spans="2:49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</row>
    <row r="70" spans="2:49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</row>
    <row r="71" spans="2:49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</row>
    <row r="73" spans="2:49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</row>
    <row r="74" spans="2:49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</row>
    <row r="76" spans="2:49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</row>
    <row r="77" spans="2:49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</row>
  </sheetData>
  <mergeCells count="8">
    <mergeCell ref="B43:P48"/>
    <mergeCell ref="B2:P2"/>
    <mergeCell ref="B24:P24"/>
    <mergeCell ref="B37:P37"/>
    <mergeCell ref="B40:P40"/>
    <mergeCell ref="B5:P5"/>
    <mergeCell ref="B18:P18"/>
    <mergeCell ref="B21:P2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Y77"/>
  <sheetViews>
    <sheetView zoomScaleNormal="100" workbookViewId="0">
      <selection activeCell="C6" sqref="C6:P6"/>
    </sheetView>
  </sheetViews>
  <sheetFormatPr defaultRowHeight="15"/>
  <cols>
    <col min="1" max="1" width="8.7109375" customWidth="1"/>
    <col min="2" max="2" width="11.28515625" style="18" bestFit="1" customWidth="1"/>
    <col min="3" max="3" width="5.5703125" style="2" bestFit="1" customWidth="1"/>
    <col min="4" max="4" width="5.85546875" style="2" bestFit="1" customWidth="1"/>
    <col min="5" max="6" width="5.5703125" style="2" bestFit="1" customWidth="1"/>
    <col min="7" max="9" width="5.85546875" style="2" bestFit="1" customWidth="1"/>
    <col min="10" max="10" width="6.5703125" style="2" bestFit="1" customWidth="1"/>
    <col min="11" max="12" width="5.5703125" style="2" bestFit="1" customWidth="1"/>
    <col min="13" max="13" width="6.5703125" style="2" bestFit="1" customWidth="1"/>
    <col min="14" max="14" width="5.85546875" style="2" bestFit="1" customWidth="1"/>
    <col min="15" max="16" width="5.5703125" style="2" bestFit="1" customWidth="1"/>
    <col min="17" max="18" width="7" style="2" customWidth="1"/>
    <col min="19" max="19" width="10.5703125" style="2" bestFit="1" customWidth="1"/>
    <col min="20" max="20" width="5" style="2" bestFit="1" customWidth="1"/>
    <col min="21" max="24" width="6" style="2" bestFit="1" customWidth="1"/>
    <col min="25" max="25" width="7" style="2" bestFit="1" customWidth="1"/>
    <col min="26" max="26" width="6" style="2" bestFit="1" customWidth="1"/>
    <col min="27" max="27" width="6.28515625" style="2" bestFit="1" customWidth="1"/>
    <col min="28" max="28" width="6" style="2" bestFit="1" customWidth="1"/>
    <col min="29" max="29" width="5" style="2" bestFit="1" customWidth="1"/>
    <col min="30" max="30" width="6.28515625" style="2" bestFit="1" customWidth="1"/>
    <col min="31" max="32" width="6" style="2" bestFit="1" customWidth="1"/>
    <col min="33" max="33" width="5" bestFit="1" customWidth="1"/>
    <col min="34" max="34" width="6.28515625" bestFit="1" customWidth="1"/>
    <col min="36" max="36" width="4.140625" style="6" bestFit="1" customWidth="1"/>
    <col min="37" max="37" width="3.85546875" style="6" bestFit="1" customWidth="1"/>
    <col min="38" max="38" width="4" style="6" bestFit="1" customWidth="1"/>
    <col min="39" max="39" width="4.28515625" style="6" bestFit="1" customWidth="1"/>
    <col min="40" max="42" width="4.42578125" style="6" bestFit="1" customWidth="1"/>
    <col min="43" max="43" width="5.85546875" style="6" bestFit="1" customWidth="1"/>
    <col min="44" max="44" width="4.28515625" style="6" bestFit="1" customWidth="1"/>
    <col min="45" max="45" width="3.7109375" style="6" bestFit="1" customWidth="1"/>
    <col min="46" max="46" width="5.85546875" style="6" bestFit="1" customWidth="1"/>
    <col min="47" max="47" width="4.42578125" style="6" bestFit="1" customWidth="1"/>
    <col min="48" max="49" width="4.140625" style="6" bestFit="1" customWidth="1"/>
  </cols>
  <sheetData>
    <row r="2" spans="2:51">
      <c r="B2" s="41" t="s">
        <v>103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</row>
    <row r="4" spans="2:51">
      <c r="B4" s="20"/>
      <c r="C4" s="8" t="s">
        <v>34</v>
      </c>
      <c r="D4" s="8" t="s">
        <v>35</v>
      </c>
      <c r="E4" s="8" t="s">
        <v>36</v>
      </c>
      <c r="F4" s="8" t="s">
        <v>37</v>
      </c>
      <c r="G4" s="8" t="s">
        <v>38</v>
      </c>
      <c r="H4" s="8" t="s">
        <v>39</v>
      </c>
      <c r="I4" s="8" t="s">
        <v>40</v>
      </c>
      <c r="J4" s="8" t="s">
        <v>41</v>
      </c>
      <c r="K4" s="8" t="s">
        <v>42</v>
      </c>
      <c r="L4" s="8" t="s">
        <v>43</v>
      </c>
      <c r="M4" s="8" t="s">
        <v>46</v>
      </c>
      <c r="N4" s="8" t="s">
        <v>44</v>
      </c>
      <c r="O4" s="8" t="s">
        <v>45</v>
      </c>
      <c r="P4" s="8" t="s">
        <v>47</v>
      </c>
      <c r="Q4" s="27"/>
      <c r="R4" s="27"/>
      <c r="S4" s="20" t="s">
        <v>86</v>
      </c>
      <c r="T4" s="8" t="s">
        <v>34</v>
      </c>
      <c r="U4" s="8" t="s">
        <v>35</v>
      </c>
      <c r="V4" s="8" t="s">
        <v>36</v>
      </c>
      <c r="W4" s="8" t="s">
        <v>37</v>
      </c>
      <c r="X4" s="8" t="s">
        <v>38</v>
      </c>
      <c r="Y4" s="8" t="s">
        <v>39</v>
      </c>
      <c r="Z4" s="8" t="s">
        <v>40</v>
      </c>
      <c r="AA4" s="8" t="s">
        <v>41</v>
      </c>
      <c r="AB4" s="8" t="s">
        <v>42</v>
      </c>
      <c r="AC4" s="8" t="s">
        <v>43</v>
      </c>
      <c r="AD4" s="8" t="s">
        <v>46</v>
      </c>
      <c r="AE4" s="8" t="s">
        <v>44</v>
      </c>
      <c r="AF4" s="8" t="s">
        <v>45</v>
      </c>
      <c r="AG4" s="8" t="s">
        <v>47</v>
      </c>
      <c r="AH4" s="2"/>
    </row>
    <row r="5" spans="2:51">
      <c r="B5" s="46" t="s">
        <v>87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25"/>
      <c r="R5" s="25"/>
    </row>
    <row r="6" spans="2:51">
      <c r="B6" s="20" t="s">
        <v>61</v>
      </c>
      <c r="C6" s="40">
        <f>T6</f>
        <v>0.23499999999999999</v>
      </c>
      <c r="D6" s="40">
        <f t="shared" ref="D6:P6" si="0">U6</f>
        <v>0.27800000000000002</v>
      </c>
      <c r="E6" s="40">
        <f t="shared" si="0"/>
        <v>0.24</v>
      </c>
      <c r="F6" s="40">
        <f t="shared" si="0"/>
        <v>0.22500000000000001</v>
      </c>
      <c r="G6" s="40">
        <f t="shared" si="0"/>
        <v>0.23699999999999999</v>
      </c>
      <c r="H6" s="40">
        <f t="shared" si="0"/>
        <v>0.26400000000000001</v>
      </c>
      <c r="I6" s="40">
        <f t="shared" si="0"/>
        <v>0.311</v>
      </c>
      <c r="J6" s="40">
        <f t="shared" si="0"/>
        <v>0.27600000000000002</v>
      </c>
      <c r="K6" s="40">
        <f t="shared" si="0"/>
        <v>0.33600000000000002</v>
      </c>
      <c r="L6" s="40">
        <f t="shared" si="0"/>
        <v>0.28499999999999998</v>
      </c>
      <c r="M6" s="40">
        <f t="shared" si="0"/>
        <v>0.23499999999999999</v>
      </c>
      <c r="N6" s="40">
        <f t="shared" si="0"/>
        <v>0.26200000000000001</v>
      </c>
      <c r="O6" s="40">
        <f t="shared" si="0"/>
        <v>0.222</v>
      </c>
      <c r="P6" s="40">
        <f t="shared" si="0"/>
        <v>0.20799999999999999</v>
      </c>
      <c r="Q6" s="23"/>
      <c r="R6" s="23"/>
      <c r="S6" s="18" t="s">
        <v>30</v>
      </c>
      <c r="T6" s="2">
        <v>0.23499999999999999</v>
      </c>
      <c r="U6" s="2">
        <v>0.27800000000000002</v>
      </c>
      <c r="V6" s="2">
        <v>0.24</v>
      </c>
      <c r="W6" s="2">
        <v>0.22500000000000001</v>
      </c>
      <c r="X6" s="2">
        <v>0.23699999999999999</v>
      </c>
      <c r="Y6" s="2">
        <v>0.26400000000000001</v>
      </c>
      <c r="Z6" s="2">
        <v>0.311</v>
      </c>
      <c r="AA6" s="2">
        <v>0.27600000000000002</v>
      </c>
      <c r="AB6" s="2">
        <v>0.33600000000000002</v>
      </c>
      <c r="AC6" s="2">
        <v>0.28499999999999998</v>
      </c>
      <c r="AD6" s="2">
        <v>0.23499999999999999</v>
      </c>
      <c r="AE6" s="2">
        <v>0.26200000000000001</v>
      </c>
      <c r="AF6" s="2">
        <v>0.222</v>
      </c>
      <c r="AG6">
        <v>0.20799999999999999</v>
      </c>
    </row>
    <row r="7" spans="2:51">
      <c r="B7" s="18" t="s">
        <v>48</v>
      </c>
      <c r="C7" s="31">
        <f t="shared" ref="C7:C17" si="1">T7/C$6</f>
        <v>1.4638297872340424</v>
      </c>
      <c r="D7" s="31">
        <f t="shared" ref="D7:D17" si="2">U7/D$6</f>
        <v>1.0611510791366905</v>
      </c>
      <c r="E7" s="31">
        <f t="shared" ref="E7:E17" si="3">V7/E$6</f>
        <v>1.2083333333333333</v>
      </c>
      <c r="F7" s="31">
        <f t="shared" ref="F7:F17" si="4">W7/F$6</f>
        <v>1.1866666666666668</v>
      </c>
      <c r="G7" s="31">
        <f t="shared" ref="G7:G17" si="5">X7/G$6</f>
        <v>1.1645569620253167</v>
      </c>
      <c r="H7" s="31">
        <f t="shared" ref="H7:H17" si="6">Y7/H$6</f>
        <v>1.2083333333333333</v>
      </c>
      <c r="I7" s="31">
        <f t="shared" ref="I7:I17" si="7">Z7/I$6</f>
        <v>1.090032154340836</v>
      </c>
      <c r="J7" s="31">
        <f t="shared" ref="J7:J17" si="8">AA7/J$6</f>
        <v>1.2753623188405796</v>
      </c>
      <c r="K7" s="31">
        <f t="shared" ref="K7:K17" si="9">AB7/K$6</f>
        <v>0.88095238095238082</v>
      </c>
      <c r="L7" s="31">
        <f t="shared" ref="L7:L17" si="10">AC7/L$6</f>
        <v>1.3368421052631581</v>
      </c>
      <c r="M7" s="31">
        <f t="shared" ref="M7:M17" si="11">AD7/M$6</f>
        <v>1.4000000000000001</v>
      </c>
      <c r="N7" s="31">
        <f t="shared" ref="N7:N17" si="12">AE7/N$6</f>
        <v>1.4541984732824427</v>
      </c>
      <c r="O7" s="31">
        <f t="shared" ref="O7:O17" si="13">AF7/O$6</f>
        <v>1.2297297297297298</v>
      </c>
      <c r="P7" s="31">
        <f t="shared" ref="P7:P17" si="14">AG7/P$6</f>
        <v>1.3269230769230771</v>
      </c>
      <c r="Q7" s="19"/>
      <c r="R7" s="19"/>
      <c r="S7" s="18" t="s">
        <v>48</v>
      </c>
      <c r="T7" s="2">
        <v>0.34399999999999997</v>
      </c>
      <c r="U7" s="2">
        <v>0.29499999999999998</v>
      </c>
      <c r="V7" s="2">
        <v>0.28999999999999998</v>
      </c>
      <c r="W7" s="2">
        <v>0.26700000000000002</v>
      </c>
      <c r="X7" s="2">
        <v>0.27600000000000002</v>
      </c>
      <c r="Y7" s="2">
        <v>0.31900000000000001</v>
      </c>
      <c r="Z7" s="2">
        <v>0.33900000000000002</v>
      </c>
      <c r="AA7" s="2">
        <v>0.35199999999999998</v>
      </c>
      <c r="AB7" s="2">
        <v>0.29599999999999999</v>
      </c>
      <c r="AC7" s="2">
        <v>0.38100000000000001</v>
      </c>
      <c r="AD7" s="2">
        <v>0.32900000000000001</v>
      </c>
      <c r="AE7" s="2">
        <v>0.38100000000000001</v>
      </c>
      <c r="AF7" s="2">
        <v>0.27300000000000002</v>
      </c>
      <c r="AG7">
        <v>0.27600000000000002</v>
      </c>
      <c r="AH7" s="2"/>
      <c r="AY7" s="6"/>
    </row>
    <row r="8" spans="2:51">
      <c r="B8" s="18" t="s">
        <v>58</v>
      </c>
      <c r="C8" s="31">
        <f t="shared" si="1"/>
        <v>1.2297872340425531</v>
      </c>
      <c r="D8" s="31">
        <f t="shared" si="2"/>
        <v>1.0647482014388487</v>
      </c>
      <c r="E8" s="31">
        <f t="shared" si="3"/>
        <v>1.2291666666666667</v>
      </c>
      <c r="F8" s="31">
        <f t="shared" si="4"/>
        <v>1.1777777777777778</v>
      </c>
      <c r="G8" s="31">
        <f t="shared" si="5"/>
        <v>1.109704641350211</v>
      </c>
      <c r="H8" s="31">
        <f t="shared" si="6"/>
        <v>1.1628787878787878</v>
      </c>
      <c r="I8" s="31">
        <f t="shared" si="7"/>
        <v>1.0964630225080387</v>
      </c>
      <c r="J8" s="31">
        <f t="shared" si="8"/>
        <v>1.2463768115942027</v>
      </c>
      <c r="K8" s="31">
        <f t="shared" si="9"/>
        <v>0.9464285714285714</v>
      </c>
      <c r="L8" s="31">
        <f t="shared" si="10"/>
        <v>1.129824561403509</v>
      </c>
      <c r="M8" s="31">
        <f t="shared" si="11"/>
        <v>1.2936170212765958</v>
      </c>
      <c r="N8" s="31">
        <f t="shared" si="12"/>
        <v>1.2099236641221374</v>
      </c>
      <c r="O8" s="31">
        <f t="shared" si="13"/>
        <v>1.1756756756756757</v>
      </c>
      <c r="P8" s="31">
        <f t="shared" si="14"/>
        <v>1.1923076923076923</v>
      </c>
      <c r="Q8" s="19"/>
      <c r="R8" s="19"/>
      <c r="S8" s="18" t="s">
        <v>58</v>
      </c>
      <c r="T8" s="2">
        <v>0.28899999999999998</v>
      </c>
      <c r="U8" s="2">
        <v>0.29599999999999999</v>
      </c>
      <c r="V8" s="2">
        <v>0.29499999999999998</v>
      </c>
      <c r="W8" s="2">
        <v>0.26500000000000001</v>
      </c>
      <c r="X8" s="2">
        <v>0.26300000000000001</v>
      </c>
      <c r="Y8" s="2">
        <v>0.307</v>
      </c>
      <c r="Z8" s="2">
        <v>0.34100000000000003</v>
      </c>
      <c r="AA8" s="2">
        <v>0.34399999999999997</v>
      </c>
      <c r="AB8" s="2">
        <v>0.318</v>
      </c>
      <c r="AC8" s="2">
        <v>0.32200000000000001</v>
      </c>
      <c r="AD8" s="2">
        <v>0.30399999999999999</v>
      </c>
      <c r="AE8" s="2">
        <v>0.317</v>
      </c>
      <c r="AF8" s="2">
        <v>0.26100000000000001</v>
      </c>
      <c r="AG8">
        <v>0.248</v>
      </c>
      <c r="AH8" s="2"/>
      <c r="AY8" s="6"/>
    </row>
    <row r="9" spans="2:51">
      <c r="B9" s="18" t="s">
        <v>29</v>
      </c>
      <c r="C9" s="31">
        <f t="shared" si="1"/>
        <v>1.2765957446808511</v>
      </c>
      <c r="D9" s="31">
        <f t="shared" si="2"/>
        <v>1.2050359712230216</v>
      </c>
      <c r="E9" s="31">
        <f t="shared" si="3"/>
        <v>1.1958333333333333</v>
      </c>
      <c r="F9" s="31">
        <f t="shared" si="4"/>
        <v>1.2</v>
      </c>
      <c r="G9" s="31">
        <f t="shared" si="5"/>
        <v>1.1856540084388187</v>
      </c>
      <c r="H9" s="31">
        <f t="shared" si="6"/>
        <v>1.2272727272727273</v>
      </c>
      <c r="I9" s="31">
        <f t="shared" si="7"/>
        <v>1.3086816720257235</v>
      </c>
      <c r="J9" s="31">
        <f t="shared" si="8"/>
        <v>1.1340579710144927</v>
      </c>
      <c r="K9" s="31">
        <f t="shared" si="9"/>
        <v>1.0089285714285714</v>
      </c>
      <c r="L9" s="31">
        <f t="shared" si="10"/>
        <v>1.1614035087719299</v>
      </c>
      <c r="M9" s="31">
        <f t="shared" si="11"/>
        <v>1.14468085106383</v>
      </c>
      <c r="N9" s="31">
        <f t="shared" si="12"/>
        <v>1.2137404580152671</v>
      </c>
      <c r="O9" s="31">
        <f t="shared" si="13"/>
        <v>1.1486486486486487</v>
      </c>
      <c r="P9" s="31">
        <f t="shared" si="14"/>
        <v>1.1634615384615385</v>
      </c>
      <c r="Q9" s="19"/>
      <c r="R9" s="19"/>
      <c r="S9" s="18" t="s">
        <v>29</v>
      </c>
      <c r="T9" s="2">
        <v>0.3</v>
      </c>
      <c r="U9" s="2">
        <v>0.33500000000000002</v>
      </c>
      <c r="V9" s="2">
        <v>0.28699999999999998</v>
      </c>
      <c r="W9" s="2">
        <v>0.27</v>
      </c>
      <c r="X9" s="2">
        <v>0.28100000000000003</v>
      </c>
      <c r="Y9" s="2">
        <v>0.32400000000000001</v>
      </c>
      <c r="Z9" s="2">
        <v>0.40699999999999997</v>
      </c>
      <c r="AA9" s="2">
        <v>0.313</v>
      </c>
      <c r="AB9" s="2">
        <v>0.33900000000000002</v>
      </c>
      <c r="AC9" s="2">
        <v>0.33100000000000002</v>
      </c>
      <c r="AD9" s="2">
        <v>0.26900000000000002</v>
      </c>
      <c r="AE9" s="2">
        <v>0.318</v>
      </c>
      <c r="AF9" s="2">
        <v>0.255</v>
      </c>
      <c r="AG9">
        <v>0.24199999999999999</v>
      </c>
      <c r="AH9" s="2"/>
      <c r="AY9" s="6"/>
    </row>
    <row r="10" spans="2:51">
      <c r="B10" s="18" t="s">
        <v>31</v>
      </c>
      <c r="C10" s="31">
        <f t="shared" si="1"/>
        <v>0.97872340425531923</v>
      </c>
      <c r="D10" s="31">
        <f t="shared" si="2"/>
        <v>1.1618705035971222</v>
      </c>
      <c r="E10" s="31">
        <f t="shared" si="3"/>
        <v>0.93750000000000011</v>
      </c>
      <c r="F10" s="31">
        <f t="shared" si="4"/>
        <v>1.0266666666666666</v>
      </c>
      <c r="G10" s="31">
        <f t="shared" si="5"/>
        <v>1.4599156118143459</v>
      </c>
      <c r="H10" s="31">
        <f t="shared" si="6"/>
        <v>20.996212121212121</v>
      </c>
      <c r="I10" s="31">
        <f t="shared" si="7"/>
        <v>1.482315112540193</v>
      </c>
      <c r="J10" s="31">
        <f t="shared" si="8"/>
        <v>1.3876811594202898</v>
      </c>
      <c r="K10" s="31">
        <f t="shared" si="9"/>
        <v>0.7946428571428571</v>
      </c>
      <c r="L10" s="31">
        <f t="shared" si="10"/>
        <v>0.96842105263157907</v>
      </c>
      <c r="M10" s="31">
        <f t="shared" si="11"/>
        <v>1.0297872340425531</v>
      </c>
      <c r="N10" s="31">
        <f t="shared" si="12"/>
        <v>1.1450381679389312</v>
      </c>
      <c r="O10" s="31">
        <f t="shared" si="13"/>
        <v>1.1711711711711712</v>
      </c>
      <c r="P10" s="31">
        <f t="shared" si="14"/>
        <v>1.0096153846153846</v>
      </c>
      <c r="Q10" s="19"/>
      <c r="R10" s="19"/>
      <c r="S10" s="18" t="s">
        <v>31</v>
      </c>
      <c r="T10" s="2">
        <v>0.23</v>
      </c>
      <c r="U10" s="2">
        <v>0.32300000000000001</v>
      </c>
      <c r="V10" s="2">
        <v>0.22500000000000001</v>
      </c>
      <c r="W10" s="2">
        <v>0.23100000000000001</v>
      </c>
      <c r="X10" s="2">
        <v>0.34599999999999997</v>
      </c>
      <c r="Y10" s="2">
        <v>5.5430000000000001</v>
      </c>
      <c r="Z10" s="2">
        <v>0.46100000000000002</v>
      </c>
      <c r="AA10" s="2">
        <v>0.38300000000000001</v>
      </c>
      <c r="AB10" s="2">
        <v>0.26700000000000002</v>
      </c>
      <c r="AC10" s="2">
        <v>0.27600000000000002</v>
      </c>
      <c r="AD10" s="2">
        <v>0.24199999999999999</v>
      </c>
      <c r="AE10" s="2">
        <v>0.3</v>
      </c>
      <c r="AF10" s="2">
        <v>0.26</v>
      </c>
      <c r="AG10">
        <v>0.21</v>
      </c>
      <c r="AH10" s="2"/>
      <c r="AY10" s="6"/>
    </row>
    <row r="11" spans="2:51">
      <c r="B11" s="18" t="s">
        <v>32</v>
      </c>
      <c r="C11" s="31">
        <f t="shared" si="1"/>
        <v>0.95744680851063835</v>
      </c>
      <c r="D11" s="31">
        <f t="shared" si="2"/>
        <v>1.2050359712230216</v>
      </c>
      <c r="E11" s="31">
        <f t="shared" si="3"/>
        <v>1.2249999999999999</v>
      </c>
      <c r="F11" s="31">
        <f t="shared" si="4"/>
        <v>0.95555555555555549</v>
      </c>
      <c r="G11" s="31">
        <f t="shared" si="5"/>
        <v>0.91561181434599159</v>
      </c>
      <c r="H11" s="31">
        <f t="shared" si="6"/>
        <v>5.0871212121212119</v>
      </c>
      <c r="I11" s="31">
        <f t="shared" si="7"/>
        <v>1.0128617363344052</v>
      </c>
      <c r="J11" s="31">
        <f t="shared" si="8"/>
        <v>1.3369565217391304</v>
      </c>
      <c r="K11" s="31">
        <f t="shared" si="9"/>
        <v>0.76488095238095233</v>
      </c>
      <c r="L11" s="31">
        <f t="shared" si="10"/>
        <v>0.95438596491228089</v>
      </c>
      <c r="M11" s="31">
        <f t="shared" si="11"/>
        <v>0.96170212765957452</v>
      </c>
      <c r="N11" s="31">
        <f t="shared" si="12"/>
        <v>1.0229007633587786</v>
      </c>
      <c r="O11" s="31">
        <f t="shared" si="13"/>
        <v>1.0540540540540542</v>
      </c>
      <c r="P11" s="31">
        <f t="shared" si="14"/>
        <v>1.0528846153846154</v>
      </c>
      <c r="Q11" s="19"/>
      <c r="R11" s="19"/>
      <c r="S11" s="18" t="s">
        <v>32</v>
      </c>
      <c r="T11" s="2">
        <v>0.22500000000000001</v>
      </c>
      <c r="U11" s="2">
        <v>0.33500000000000002</v>
      </c>
      <c r="V11" s="2">
        <v>0.29399999999999998</v>
      </c>
      <c r="W11" s="2">
        <v>0.215</v>
      </c>
      <c r="X11" s="2">
        <v>0.217</v>
      </c>
      <c r="Y11" s="2">
        <v>1.343</v>
      </c>
      <c r="Z11" s="2">
        <v>0.315</v>
      </c>
      <c r="AA11" s="2">
        <v>0.36899999999999999</v>
      </c>
      <c r="AB11" s="2">
        <v>0.25700000000000001</v>
      </c>
      <c r="AC11" s="2">
        <v>0.27200000000000002</v>
      </c>
      <c r="AD11" s="2">
        <v>0.22600000000000001</v>
      </c>
      <c r="AE11" s="2">
        <v>0.26800000000000002</v>
      </c>
      <c r="AF11" s="2">
        <v>0.23400000000000001</v>
      </c>
      <c r="AG11">
        <v>0.219</v>
      </c>
      <c r="AH11" s="2"/>
      <c r="AY11" s="6"/>
    </row>
    <row r="12" spans="2:51">
      <c r="B12" s="18" t="s">
        <v>33</v>
      </c>
      <c r="C12" s="31">
        <f t="shared" si="1"/>
        <v>2.4170212765957446</v>
      </c>
      <c r="D12" s="31">
        <f t="shared" si="2"/>
        <v>1.2086330935251799</v>
      </c>
      <c r="E12" s="31">
        <f t="shared" si="3"/>
        <v>1.3583333333333334</v>
      </c>
      <c r="F12" s="31">
        <f t="shared" si="4"/>
        <v>2.4355555555555557</v>
      </c>
      <c r="G12" s="31">
        <f t="shared" si="5"/>
        <v>1.0759493670886076</v>
      </c>
      <c r="H12" s="31">
        <f t="shared" si="6"/>
        <v>4.8560606060606055</v>
      </c>
      <c r="I12" s="31">
        <f t="shared" si="7"/>
        <v>1.1672025723472668</v>
      </c>
      <c r="J12" s="31">
        <f t="shared" si="8"/>
        <v>1.4963768115942027</v>
      </c>
      <c r="K12" s="31">
        <f t="shared" si="9"/>
        <v>0.8125</v>
      </c>
      <c r="L12" s="31">
        <f t="shared" si="10"/>
        <v>1.0561403508771929</v>
      </c>
      <c r="M12" s="31">
        <f t="shared" si="11"/>
        <v>2.9148936170212769</v>
      </c>
      <c r="N12" s="31">
        <f t="shared" si="12"/>
        <v>1.4274809160305344</v>
      </c>
      <c r="O12" s="31">
        <f t="shared" si="13"/>
        <v>1.1396396396396395</v>
      </c>
      <c r="P12" s="31">
        <f t="shared" si="14"/>
        <v>1.0096153846153846</v>
      </c>
      <c r="Q12" s="19"/>
      <c r="R12" s="19"/>
      <c r="S12" s="18" t="s">
        <v>33</v>
      </c>
      <c r="T12" s="2">
        <v>0.56799999999999995</v>
      </c>
      <c r="U12" s="2">
        <v>0.33600000000000002</v>
      </c>
      <c r="V12" s="2">
        <v>0.32600000000000001</v>
      </c>
      <c r="W12" s="2">
        <v>0.54800000000000004</v>
      </c>
      <c r="X12" s="2">
        <v>0.255</v>
      </c>
      <c r="Y12" s="2">
        <v>1.282</v>
      </c>
      <c r="Z12" s="2">
        <v>0.36299999999999999</v>
      </c>
      <c r="AA12" s="2">
        <v>0.41299999999999998</v>
      </c>
      <c r="AB12" s="2">
        <v>0.27300000000000002</v>
      </c>
      <c r="AC12" s="2">
        <v>0.30099999999999999</v>
      </c>
      <c r="AD12" s="2">
        <v>0.68500000000000005</v>
      </c>
      <c r="AE12" s="2">
        <v>0.374</v>
      </c>
      <c r="AF12" s="2">
        <v>0.253</v>
      </c>
      <c r="AG12">
        <v>0.21</v>
      </c>
      <c r="AH12" s="2"/>
      <c r="AY12" s="6"/>
    </row>
    <row r="13" spans="2:51">
      <c r="B13" s="18" t="s">
        <v>95</v>
      </c>
      <c r="C13" s="31">
        <f t="shared" si="1"/>
        <v>1.1191489361702129</v>
      </c>
      <c r="D13" s="31">
        <f t="shared" si="2"/>
        <v>1.0971223021582732</v>
      </c>
      <c r="E13" s="31">
        <f t="shared" si="3"/>
        <v>1.2083333333333333</v>
      </c>
      <c r="F13" s="31">
        <f t="shared" si="4"/>
        <v>1.2</v>
      </c>
      <c r="G13" s="31">
        <f t="shared" si="5"/>
        <v>1.168776371308017</v>
      </c>
      <c r="H13" s="31">
        <f t="shared" si="6"/>
        <v>1.2234848484848484</v>
      </c>
      <c r="I13" s="31">
        <f t="shared" si="7"/>
        <v>1.0385852090032155</v>
      </c>
      <c r="J13" s="31">
        <f t="shared" si="8"/>
        <v>1.2644927536231882</v>
      </c>
      <c r="K13" s="31">
        <f t="shared" si="9"/>
        <v>0.88988095238095233</v>
      </c>
      <c r="L13" s="31">
        <f t="shared" si="10"/>
        <v>1.1157894736842107</v>
      </c>
      <c r="M13" s="31">
        <f t="shared" si="11"/>
        <v>1.3872340425531917</v>
      </c>
      <c r="N13" s="31">
        <f t="shared" si="12"/>
        <v>1.198473282442748</v>
      </c>
      <c r="O13" s="31">
        <f t="shared" si="13"/>
        <v>1.2432432432432434</v>
      </c>
      <c r="P13" s="31">
        <f t="shared" si="14"/>
        <v>1.2596153846153848</v>
      </c>
      <c r="Q13" s="19"/>
      <c r="R13" s="19"/>
      <c r="S13" s="18" t="s">
        <v>95</v>
      </c>
      <c r="T13" s="2">
        <v>0.26300000000000001</v>
      </c>
      <c r="U13" s="2">
        <v>0.30499999999999999</v>
      </c>
      <c r="V13" s="2">
        <v>0.28999999999999998</v>
      </c>
      <c r="W13" s="2">
        <v>0.27</v>
      </c>
      <c r="X13" s="2">
        <v>0.27700000000000002</v>
      </c>
      <c r="Y13" s="2">
        <v>0.32300000000000001</v>
      </c>
      <c r="Z13" s="2">
        <v>0.32300000000000001</v>
      </c>
      <c r="AA13" s="2">
        <v>0.34899999999999998</v>
      </c>
      <c r="AB13" s="2">
        <v>0.29899999999999999</v>
      </c>
      <c r="AC13" s="2">
        <v>0.318</v>
      </c>
      <c r="AD13" s="2">
        <v>0.32600000000000001</v>
      </c>
      <c r="AE13" s="2">
        <v>0.314</v>
      </c>
      <c r="AF13" s="2">
        <v>0.27600000000000002</v>
      </c>
      <c r="AG13">
        <v>0.26200000000000001</v>
      </c>
      <c r="AH13" s="2"/>
      <c r="AY13" s="6"/>
    </row>
    <row r="14" spans="2:51">
      <c r="B14" s="18" t="s">
        <v>94</v>
      </c>
      <c r="C14" s="31">
        <f t="shared" si="1"/>
        <v>0.95744680851063835</v>
      </c>
      <c r="D14" s="31">
        <f t="shared" si="2"/>
        <v>0.92086330935251792</v>
      </c>
      <c r="E14" s="31">
        <f t="shared" si="3"/>
        <v>0.98333333333333328</v>
      </c>
      <c r="F14" s="31">
        <f t="shared" si="4"/>
        <v>0.96</v>
      </c>
      <c r="G14" s="31">
        <f t="shared" si="5"/>
        <v>0.93670886075949378</v>
      </c>
      <c r="H14" s="31">
        <f t="shared" si="6"/>
        <v>0.95454545454545447</v>
      </c>
      <c r="I14" s="31">
        <f t="shared" si="7"/>
        <v>0.94533762057877813</v>
      </c>
      <c r="J14" s="31">
        <f t="shared" si="8"/>
        <v>1.0144927536231885</v>
      </c>
      <c r="K14" s="31">
        <f t="shared" si="9"/>
        <v>0.78869047619047616</v>
      </c>
      <c r="L14" s="31">
        <f t="shared" si="10"/>
        <v>0.99298245614035086</v>
      </c>
      <c r="M14" s="31">
        <f t="shared" si="11"/>
        <v>1.0042553191489361</v>
      </c>
      <c r="N14" s="31">
        <f t="shared" si="12"/>
        <v>0.95419847328244267</v>
      </c>
      <c r="O14" s="31">
        <f t="shared" si="13"/>
        <v>0.95945945945945943</v>
      </c>
      <c r="P14" s="31">
        <f t="shared" si="14"/>
        <v>0.99038461538461542</v>
      </c>
      <c r="Q14" s="28"/>
      <c r="R14" s="28"/>
      <c r="S14" s="18" t="s">
        <v>96</v>
      </c>
      <c r="T14" s="2">
        <v>0.22500000000000001</v>
      </c>
      <c r="U14" s="2">
        <v>0.25600000000000001</v>
      </c>
      <c r="V14" s="2">
        <v>0.23599999999999999</v>
      </c>
      <c r="W14" s="2">
        <v>0.216</v>
      </c>
      <c r="X14" s="2">
        <v>0.222</v>
      </c>
      <c r="Y14" s="2">
        <v>0.252</v>
      </c>
      <c r="Z14" s="2">
        <v>0.29399999999999998</v>
      </c>
      <c r="AA14" s="2">
        <v>0.28000000000000003</v>
      </c>
      <c r="AB14" s="2">
        <v>0.26500000000000001</v>
      </c>
      <c r="AC14" s="2">
        <v>0.28299999999999997</v>
      </c>
      <c r="AD14" s="2">
        <v>0.23599999999999999</v>
      </c>
      <c r="AE14" s="2">
        <v>0.25</v>
      </c>
      <c r="AF14" s="2">
        <v>0.21299999999999999</v>
      </c>
      <c r="AG14">
        <v>0.20599999999999999</v>
      </c>
    </row>
    <row r="15" spans="2:51">
      <c r="B15" s="17" t="s">
        <v>91</v>
      </c>
      <c r="C15" s="31">
        <f t="shared" si="1"/>
        <v>0.94468085106382982</v>
      </c>
      <c r="D15" s="31">
        <f t="shared" si="2"/>
        <v>0.87769784172661858</v>
      </c>
      <c r="E15" s="31">
        <f t="shared" si="3"/>
        <v>0.92500000000000004</v>
      </c>
      <c r="F15" s="31">
        <f t="shared" si="4"/>
        <v>0.95111111111111102</v>
      </c>
      <c r="G15" s="31">
        <f t="shared" si="5"/>
        <v>0.9324894514767933</v>
      </c>
      <c r="H15" s="31">
        <f t="shared" si="6"/>
        <v>0.95454545454545447</v>
      </c>
      <c r="I15" s="31">
        <f t="shared" si="7"/>
        <v>1.0128617363344052</v>
      </c>
      <c r="J15" s="31">
        <f t="shared" si="8"/>
        <v>0.95289855072463769</v>
      </c>
      <c r="K15" s="31">
        <f t="shared" si="9"/>
        <v>0.75595238095238093</v>
      </c>
      <c r="L15" s="31">
        <f t="shared" si="10"/>
        <v>0.95789473684210547</v>
      </c>
      <c r="M15" s="31">
        <f t="shared" si="11"/>
        <v>0.97021276595744688</v>
      </c>
      <c r="N15" s="31">
        <f t="shared" si="12"/>
        <v>0.9580152671755725</v>
      </c>
      <c r="O15" s="31">
        <f t="shared" si="13"/>
        <v>0.91441441441441451</v>
      </c>
      <c r="P15" s="31">
        <f t="shared" si="14"/>
        <v>0.96153846153846168</v>
      </c>
      <c r="Q15" s="19"/>
      <c r="R15" s="19"/>
      <c r="S15" s="18" t="s">
        <v>91</v>
      </c>
      <c r="T15" s="2">
        <v>0.222</v>
      </c>
      <c r="U15" s="2">
        <v>0.24399999999999999</v>
      </c>
      <c r="V15" s="2">
        <v>0.222</v>
      </c>
      <c r="W15" s="2">
        <v>0.214</v>
      </c>
      <c r="X15" s="2">
        <v>0.221</v>
      </c>
      <c r="Y15" s="2">
        <v>0.252</v>
      </c>
      <c r="Z15" s="2">
        <v>0.315</v>
      </c>
      <c r="AA15" s="2">
        <v>0.26300000000000001</v>
      </c>
      <c r="AB15" s="2">
        <v>0.254</v>
      </c>
      <c r="AC15" s="2">
        <v>0.27300000000000002</v>
      </c>
      <c r="AD15" s="2">
        <v>0.22800000000000001</v>
      </c>
      <c r="AE15" s="2">
        <v>0.251</v>
      </c>
      <c r="AF15" s="2">
        <v>0.20300000000000001</v>
      </c>
      <c r="AG15">
        <v>0.2</v>
      </c>
    </row>
    <row r="16" spans="2:51">
      <c r="B16" s="17" t="s">
        <v>57</v>
      </c>
      <c r="C16" s="31">
        <f t="shared" si="1"/>
        <v>1.1276595744680853</v>
      </c>
      <c r="D16" s="31">
        <f t="shared" si="2"/>
        <v>1.1726618705035972</v>
      </c>
      <c r="E16" s="31">
        <f t="shared" si="3"/>
        <v>1.2958333333333334</v>
      </c>
      <c r="F16" s="31">
        <f t="shared" si="4"/>
        <v>1.2711111111111111</v>
      </c>
      <c r="G16" s="31">
        <f t="shared" si="5"/>
        <v>1.2953586497890295</v>
      </c>
      <c r="H16" s="31">
        <f t="shared" si="6"/>
        <v>1.356060606060606</v>
      </c>
      <c r="I16" s="31">
        <f t="shared" si="7"/>
        <v>1.0868167202572347</v>
      </c>
      <c r="J16" s="31">
        <f t="shared" si="8"/>
        <v>1.2681159420289854</v>
      </c>
      <c r="K16" s="31">
        <f t="shared" si="9"/>
        <v>0.91071428571428559</v>
      </c>
      <c r="L16" s="31">
        <f t="shared" si="10"/>
        <v>1.0982456140350878</v>
      </c>
      <c r="M16" s="31">
        <f t="shared" si="11"/>
        <v>1.4382978723404256</v>
      </c>
      <c r="N16" s="31">
        <f t="shared" si="12"/>
        <v>1.2900763358778626</v>
      </c>
      <c r="O16" s="31">
        <f t="shared" si="13"/>
        <v>1.3468468468468469</v>
      </c>
      <c r="P16" s="31">
        <f t="shared" si="14"/>
        <v>1.3269230769230771</v>
      </c>
      <c r="Q16" s="19"/>
      <c r="R16" s="19"/>
      <c r="S16" s="18" t="s">
        <v>57</v>
      </c>
      <c r="T16" s="2">
        <v>0.26500000000000001</v>
      </c>
      <c r="U16" s="2">
        <v>0.32600000000000001</v>
      </c>
      <c r="V16" s="2">
        <v>0.311</v>
      </c>
      <c r="W16" s="2">
        <v>0.28599999999999998</v>
      </c>
      <c r="X16" s="2">
        <v>0.307</v>
      </c>
      <c r="Y16" s="2">
        <v>0.35799999999999998</v>
      </c>
      <c r="Z16" s="2">
        <v>0.33800000000000002</v>
      </c>
      <c r="AA16" s="2">
        <v>0.35</v>
      </c>
      <c r="AB16" s="2">
        <v>0.30599999999999999</v>
      </c>
      <c r="AC16" s="2">
        <v>0.313</v>
      </c>
      <c r="AD16" s="2">
        <v>0.33800000000000002</v>
      </c>
      <c r="AE16" s="2">
        <v>0.33800000000000002</v>
      </c>
      <c r="AF16" s="2">
        <v>0.29899999999999999</v>
      </c>
      <c r="AG16">
        <v>0.27600000000000002</v>
      </c>
    </row>
    <row r="17" spans="2:49">
      <c r="B17" s="18" t="s">
        <v>89</v>
      </c>
      <c r="C17" s="31">
        <f t="shared" si="1"/>
        <v>0.9659574468085107</v>
      </c>
      <c r="D17" s="31">
        <f t="shared" si="2"/>
        <v>0.9532374100719424</v>
      </c>
      <c r="E17" s="31">
        <f t="shared" si="3"/>
        <v>1.0333333333333334</v>
      </c>
      <c r="F17" s="31">
        <f t="shared" si="4"/>
        <v>0.99111111111111105</v>
      </c>
      <c r="G17" s="31">
        <f t="shared" si="5"/>
        <v>0.98312236286919841</v>
      </c>
      <c r="H17" s="31">
        <f t="shared" si="6"/>
        <v>1.0568181818181819</v>
      </c>
      <c r="I17" s="31">
        <f t="shared" si="7"/>
        <v>0.96784565916398713</v>
      </c>
      <c r="J17" s="31">
        <f t="shared" si="8"/>
        <v>1.0217391304347825</v>
      </c>
      <c r="K17" s="31">
        <f t="shared" si="9"/>
        <v>0.7946428571428571</v>
      </c>
      <c r="L17" s="31">
        <f t="shared" si="10"/>
        <v>0.98245614035087736</v>
      </c>
      <c r="M17" s="31">
        <f t="shared" si="11"/>
        <v>1.0808510638297872</v>
      </c>
      <c r="N17" s="31">
        <f t="shared" si="12"/>
        <v>0.97328244274809161</v>
      </c>
      <c r="O17" s="31">
        <f t="shared" si="13"/>
        <v>0.99099099099099097</v>
      </c>
      <c r="P17" s="31">
        <f t="shared" si="14"/>
        <v>1.0096153846153846</v>
      </c>
      <c r="Q17" s="19"/>
      <c r="R17" s="19"/>
      <c r="S17" s="18" t="s">
        <v>97</v>
      </c>
      <c r="T17" s="2">
        <v>0.22700000000000001</v>
      </c>
      <c r="U17" s="2">
        <v>0.26500000000000001</v>
      </c>
      <c r="V17" s="2">
        <v>0.248</v>
      </c>
      <c r="W17" s="2">
        <v>0.223</v>
      </c>
      <c r="X17" s="2">
        <v>0.23300000000000001</v>
      </c>
      <c r="Y17" s="2">
        <v>0.27900000000000003</v>
      </c>
      <c r="Z17" s="2">
        <v>0.30099999999999999</v>
      </c>
      <c r="AA17" s="2">
        <v>0.28199999999999997</v>
      </c>
      <c r="AB17" s="2">
        <v>0.26700000000000002</v>
      </c>
      <c r="AC17" s="2">
        <v>0.28000000000000003</v>
      </c>
      <c r="AD17" s="2">
        <v>0.254</v>
      </c>
      <c r="AE17" s="2">
        <v>0.255</v>
      </c>
      <c r="AF17" s="2">
        <v>0.22</v>
      </c>
      <c r="AG17">
        <v>0.21</v>
      </c>
    </row>
    <row r="18" spans="2:49">
      <c r="B18" s="46" t="s">
        <v>93</v>
      </c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25"/>
      <c r="R18" s="25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</row>
    <row r="19" spans="2:49">
      <c r="B19" s="17" t="s">
        <v>92</v>
      </c>
      <c r="C19" s="32">
        <f t="shared" ref="C19:P20" si="15">T19/C$6</f>
        <v>0.95319148936170217</v>
      </c>
      <c r="D19" s="32">
        <f t="shared" si="15"/>
        <v>0.86330935251798546</v>
      </c>
      <c r="E19" s="32">
        <f t="shared" si="15"/>
        <v>0.91666666666666674</v>
      </c>
      <c r="F19" s="32">
        <f t="shared" si="15"/>
        <v>0.95555555555555549</v>
      </c>
      <c r="G19" s="32">
        <f t="shared" si="15"/>
        <v>0.92827004219409293</v>
      </c>
      <c r="H19" s="32">
        <f t="shared" si="15"/>
        <v>0.93939393939393934</v>
      </c>
      <c r="I19" s="32">
        <f t="shared" si="15"/>
        <v>0.99678456591639875</v>
      </c>
      <c r="J19" s="32">
        <f t="shared" si="15"/>
        <v>0.94927536231884058</v>
      </c>
      <c r="K19" s="32">
        <f t="shared" si="15"/>
        <v>0.7589285714285714</v>
      </c>
      <c r="L19" s="32">
        <f t="shared" si="15"/>
        <v>0.95789473684210547</v>
      </c>
      <c r="M19" s="32">
        <f t="shared" si="15"/>
        <v>0.9659574468085107</v>
      </c>
      <c r="N19" s="32">
        <f t="shared" si="15"/>
        <v>0.95419847328244267</v>
      </c>
      <c r="O19" s="32">
        <f t="shared" si="15"/>
        <v>0.90540540540540548</v>
      </c>
      <c r="P19" s="32">
        <f t="shared" si="15"/>
        <v>0.96153846153846168</v>
      </c>
      <c r="Q19" s="29"/>
      <c r="R19" s="29"/>
      <c r="S19" s="18" t="s">
        <v>92</v>
      </c>
      <c r="T19" s="2">
        <v>0.224</v>
      </c>
      <c r="U19" s="2">
        <v>0.24</v>
      </c>
      <c r="V19" s="2">
        <v>0.22</v>
      </c>
      <c r="W19" s="2">
        <v>0.215</v>
      </c>
      <c r="X19" s="2">
        <v>0.22</v>
      </c>
      <c r="Y19" s="2">
        <v>0.248</v>
      </c>
      <c r="Z19" s="2">
        <v>0.31</v>
      </c>
      <c r="AA19" s="2">
        <v>0.26200000000000001</v>
      </c>
      <c r="AB19" s="2">
        <v>0.255</v>
      </c>
      <c r="AC19" s="2">
        <v>0.27300000000000002</v>
      </c>
      <c r="AD19" s="2">
        <v>0.22700000000000001</v>
      </c>
      <c r="AE19" s="2">
        <v>0.25</v>
      </c>
      <c r="AF19" s="2">
        <v>0.20100000000000001</v>
      </c>
      <c r="AG19">
        <v>0.2</v>
      </c>
      <c r="AH19" s="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</row>
    <row r="20" spans="2:49">
      <c r="B20" s="17" t="s">
        <v>88</v>
      </c>
      <c r="C20" s="33">
        <f t="shared" si="15"/>
        <v>5.591489361702128</v>
      </c>
      <c r="D20" s="33">
        <f t="shared" si="15"/>
        <v>1.0035971223021583</v>
      </c>
      <c r="E20" s="33">
        <f t="shared" si="15"/>
        <v>1.3833333333333335</v>
      </c>
      <c r="F20" s="33">
        <f t="shared" si="15"/>
        <v>1.0177777777777779</v>
      </c>
      <c r="G20" s="33">
        <f t="shared" si="15"/>
        <v>1.1983122362869199</v>
      </c>
      <c r="H20" s="33">
        <f t="shared" si="15"/>
        <v>1.4507575757575757</v>
      </c>
      <c r="I20" s="33">
        <f t="shared" si="15"/>
        <v>1.1318327974276527</v>
      </c>
      <c r="J20" s="33">
        <f t="shared" si="15"/>
        <v>2.2355072463768115</v>
      </c>
      <c r="K20" s="33">
        <f t="shared" si="15"/>
        <v>0.83333333333333337</v>
      </c>
      <c r="L20" s="33">
        <f t="shared" si="15"/>
        <v>1.512280701754386</v>
      </c>
      <c r="M20" s="33">
        <f t="shared" si="15"/>
        <v>1.0212765957446808</v>
      </c>
      <c r="N20" s="33">
        <f t="shared" si="15"/>
        <v>1.0305343511450382</v>
      </c>
      <c r="O20" s="33">
        <f t="shared" si="15"/>
        <v>1.0135135135135136</v>
      </c>
      <c r="P20" s="33">
        <f t="shared" si="15"/>
        <v>1.0096153846153846</v>
      </c>
      <c r="Q20" s="29"/>
      <c r="R20" s="29"/>
      <c r="S20" s="18" t="s">
        <v>88</v>
      </c>
      <c r="T20" s="2">
        <v>1.3140000000000001</v>
      </c>
      <c r="U20" s="2">
        <v>0.27900000000000003</v>
      </c>
      <c r="V20" s="2">
        <v>0.33200000000000002</v>
      </c>
      <c r="W20" s="2">
        <v>0.22900000000000001</v>
      </c>
      <c r="X20" s="2">
        <v>0.28399999999999997</v>
      </c>
      <c r="Y20" s="2">
        <v>0.38300000000000001</v>
      </c>
      <c r="Z20" s="2">
        <v>0.35199999999999998</v>
      </c>
      <c r="AA20" s="2">
        <v>0.61699999999999999</v>
      </c>
      <c r="AB20" s="2">
        <v>0.28000000000000003</v>
      </c>
      <c r="AC20" s="2">
        <v>0.43099999999999999</v>
      </c>
      <c r="AD20" s="2">
        <v>0.24</v>
      </c>
      <c r="AE20" s="2">
        <v>0.27</v>
      </c>
      <c r="AF20" s="2">
        <v>0.22500000000000001</v>
      </c>
      <c r="AG20">
        <v>0.21</v>
      </c>
      <c r="AH20" s="19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</row>
    <row r="21" spans="2:49">
      <c r="B21" s="46" t="s">
        <v>90</v>
      </c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25"/>
      <c r="R21" s="25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</row>
    <row r="22" spans="2:49">
      <c r="B22" s="18" t="s">
        <v>59</v>
      </c>
      <c r="C22" s="32">
        <f t="shared" ref="C22:P23" si="16">T22/C$6</f>
        <v>0.90638297872340423</v>
      </c>
      <c r="D22" s="32">
        <f t="shared" si="16"/>
        <v>0.85971223021582721</v>
      </c>
      <c r="E22" s="32">
        <f t="shared" si="16"/>
        <v>0.90833333333333333</v>
      </c>
      <c r="F22" s="32">
        <f t="shared" si="16"/>
        <v>0.91555555555555546</v>
      </c>
      <c r="G22" s="32">
        <f t="shared" si="16"/>
        <v>0.90295358649789037</v>
      </c>
      <c r="H22" s="32">
        <f t="shared" si="16"/>
        <v>1.356060606060606</v>
      </c>
      <c r="I22" s="32">
        <f t="shared" si="16"/>
        <v>0.93569131832797425</v>
      </c>
      <c r="J22" s="32">
        <f t="shared" si="16"/>
        <v>0.98550724637681153</v>
      </c>
      <c r="K22" s="32">
        <f t="shared" si="16"/>
        <v>0.75595238095238093</v>
      </c>
      <c r="L22" s="32">
        <f t="shared" si="16"/>
        <v>0.95789473684210547</v>
      </c>
      <c r="M22" s="32">
        <f t="shared" si="16"/>
        <v>0.93191489361702129</v>
      </c>
      <c r="N22" s="32">
        <f t="shared" si="16"/>
        <v>0.95419847328244267</v>
      </c>
      <c r="O22" s="32">
        <f t="shared" si="16"/>
        <v>0.87387387387387394</v>
      </c>
      <c r="P22" s="32">
        <f t="shared" si="16"/>
        <v>0.93269230769230771</v>
      </c>
      <c r="Q22" s="28"/>
      <c r="R22" s="28"/>
      <c r="S22" s="18" t="s">
        <v>59</v>
      </c>
      <c r="T22" s="2">
        <v>0.21299999999999999</v>
      </c>
      <c r="U22" s="2">
        <v>0.23899999999999999</v>
      </c>
      <c r="V22" s="2">
        <v>0.218</v>
      </c>
      <c r="W22" s="2">
        <v>0.20599999999999999</v>
      </c>
      <c r="X22" s="2">
        <v>0.214</v>
      </c>
      <c r="Y22" s="2">
        <v>0.35799999999999998</v>
      </c>
      <c r="Z22" s="2">
        <v>0.29099999999999998</v>
      </c>
      <c r="AA22" s="2">
        <v>0.27200000000000002</v>
      </c>
      <c r="AB22" s="2">
        <v>0.254</v>
      </c>
      <c r="AC22" s="2">
        <v>0.27300000000000002</v>
      </c>
      <c r="AD22" s="2">
        <v>0.219</v>
      </c>
      <c r="AE22" s="2">
        <v>0.25</v>
      </c>
      <c r="AF22" s="2">
        <v>0.19400000000000001</v>
      </c>
      <c r="AG22">
        <v>0.19400000000000001</v>
      </c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</row>
    <row r="23" spans="2:49">
      <c r="B23" s="20" t="s">
        <v>60</v>
      </c>
      <c r="C23" s="33">
        <f t="shared" si="16"/>
        <v>0.91063829787234041</v>
      </c>
      <c r="D23" s="33">
        <f t="shared" si="16"/>
        <v>0.86690647482014382</v>
      </c>
      <c r="E23" s="33">
        <f t="shared" si="16"/>
        <v>0.92083333333333339</v>
      </c>
      <c r="F23" s="33">
        <f t="shared" si="16"/>
        <v>0.9244444444444444</v>
      </c>
      <c r="G23" s="33">
        <f t="shared" si="16"/>
        <v>0.89451476793248952</v>
      </c>
      <c r="H23" s="33">
        <f t="shared" si="16"/>
        <v>1.3787878787878787</v>
      </c>
      <c r="I23" s="33">
        <f t="shared" si="16"/>
        <v>0.93890675241157551</v>
      </c>
      <c r="J23" s="33">
        <f t="shared" si="16"/>
        <v>0.96739130434782605</v>
      </c>
      <c r="K23" s="33">
        <f t="shared" si="16"/>
        <v>0.7589285714285714</v>
      </c>
      <c r="L23" s="33">
        <f t="shared" si="16"/>
        <v>0.94736842105263175</v>
      </c>
      <c r="M23" s="33">
        <f t="shared" si="16"/>
        <v>0.94893617021276599</v>
      </c>
      <c r="N23" s="33">
        <f t="shared" si="16"/>
        <v>0.96183206106870223</v>
      </c>
      <c r="O23" s="33">
        <f t="shared" si="16"/>
        <v>0.88738738738738743</v>
      </c>
      <c r="P23" s="33">
        <f t="shared" si="16"/>
        <v>0.95192307692307698</v>
      </c>
      <c r="Q23" s="30"/>
      <c r="R23" s="30"/>
      <c r="S23" s="18" t="s">
        <v>60</v>
      </c>
      <c r="T23" s="2">
        <v>0.214</v>
      </c>
      <c r="U23" s="2">
        <v>0.24099999999999999</v>
      </c>
      <c r="V23" s="2">
        <v>0.221</v>
      </c>
      <c r="W23" s="2">
        <v>0.20799999999999999</v>
      </c>
      <c r="X23" s="2">
        <v>0.21199999999999999</v>
      </c>
      <c r="Y23" s="2">
        <v>0.36399999999999999</v>
      </c>
      <c r="Z23" s="2">
        <v>0.29199999999999998</v>
      </c>
      <c r="AA23" s="2">
        <v>0.26700000000000002</v>
      </c>
      <c r="AB23" s="2">
        <v>0.255</v>
      </c>
      <c r="AC23" s="2">
        <v>0.27</v>
      </c>
      <c r="AD23" s="2">
        <v>0.223</v>
      </c>
      <c r="AE23" s="2">
        <v>0.252</v>
      </c>
      <c r="AF23" s="2">
        <v>0.19700000000000001</v>
      </c>
      <c r="AG23">
        <v>0.19800000000000001</v>
      </c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</row>
    <row r="24" spans="2:49">
      <c r="B24" s="45" t="s">
        <v>98</v>
      </c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S24" s="18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</row>
    <row r="25" spans="2:49">
      <c r="B25" s="20" t="s">
        <v>61</v>
      </c>
      <c r="C25" s="22">
        <f>T25</f>
        <v>9.6</v>
      </c>
      <c r="D25" s="22">
        <f t="shared" ref="D25:P36" si="17">U25</f>
        <v>10.199999999999999</v>
      </c>
      <c r="E25" s="22">
        <f t="shared" si="17"/>
        <v>9.9</v>
      </c>
      <c r="F25" s="22">
        <f t="shared" si="17"/>
        <v>9.6999999999999993</v>
      </c>
      <c r="G25" s="22">
        <f t="shared" si="17"/>
        <v>9.9</v>
      </c>
      <c r="H25" s="22">
        <f t="shared" si="17"/>
        <v>9.6</v>
      </c>
      <c r="I25" s="22">
        <f t="shared" si="17"/>
        <v>9.8000000000000007</v>
      </c>
      <c r="J25" s="22">
        <f t="shared" si="17"/>
        <v>9.8000000000000007</v>
      </c>
      <c r="K25" s="22">
        <f t="shared" si="17"/>
        <v>9.8000000000000007</v>
      </c>
      <c r="L25" s="22">
        <f t="shared" si="17"/>
        <v>9.8000000000000007</v>
      </c>
      <c r="M25" s="22">
        <f t="shared" si="17"/>
        <v>9.6</v>
      </c>
      <c r="N25" s="22">
        <f t="shared" si="17"/>
        <v>9.6</v>
      </c>
      <c r="O25" s="22">
        <f t="shared" si="17"/>
        <v>9.8000000000000007</v>
      </c>
      <c r="P25" s="22">
        <f t="shared" si="17"/>
        <v>9.6999999999999993</v>
      </c>
      <c r="S25" s="18" t="s">
        <v>30</v>
      </c>
      <c r="T25" s="2">
        <v>9.6</v>
      </c>
      <c r="U25" s="2">
        <v>10.199999999999999</v>
      </c>
      <c r="V25" s="2">
        <v>9.9</v>
      </c>
      <c r="W25" s="2">
        <v>9.6999999999999993</v>
      </c>
      <c r="X25" s="2">
        <v>9.9</v>
      </c>
      <c r="Y25" s="2">
        <v>9.6</v>
      </c>
      <c r="Z25" s="2">
        <v>9.8000000000000007</v>
      </c>
      <c r="AA25" s="2">
        <v>9.8000000000000007</v>
      </c>
      <c r="AB25" s="2">
        <v>9.8000000000000007</v>
      </c>
      <c r="AC25" s="2">
        <v>9.8000000000000007</v>
      </c>
      <c r="AD25" s="2">
        <v>9.6</v>
      </c>
      <c r="AE25" s="2">
        <v>9.6</v>
      </c>
      <c r="AF25" s="2">
        <v>9.8000000000000007</v>
      </c>
      <c r="AG25" s="2">
        <v>9.6999999999999993</v>
      </c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</row>
    <row r="26" spans="2:49">
      <c r="B26" s="18" t="s">
        <v>48</v>
      </c>
      <c r="C26" s="24">
        <f>T26</f>
        <v>14.2</v>
      </c>
      <c r="D26" s="24">
        <f t="shared" si="17"/>
        <v>11</v>
      </c>
      <c r="E26" s="24">
        <f t="shared" si="17"/>
        <v>11.5</v>
      </c>
      <c r="F26" s="24">
        <f t="shared" si="17"/>
        <v>11.4</v>
      </c>
      <c r="G26" s="24">
        <f t="shared" si="17"/>
        <v>11.4</v>
      </c>
      <c r="H26" s="24">
        <f t="shared" si="17"/>
        <v>11.4</v>
      </c>
      <c r="I26" s="24">
        <f t="shared" si="17"/>
        <v>11.2</v>
      </c>
      <c r="J26" s="24">
        <f t="shared" si="17"/>
        <v>12.4</v>
      </c>
      <c r="K26" s="24">
        <f t="shared" si="17"/>
        <v>10.5</v>
      </c>
      <c r="L26" s="24">
        <f t="shared" si="17"/>
        <v>12.6</v>
      </c>
      <c r="M26" s="24">
        <f t="shared" si="17"/>
        <v>12.6</v>
      </c>
      <c r="N26" s="24">
        <f t="shared" si="17"/>
        <v>13.1</v>
      </c>
      <c r="O26" s="24">
        <f t="shared" si="17"/>
        <v>11.4</v>
      </c>
      <c r="P26" s="24">
        <f t="shared" si="17"/>
        <v>12.3</v>
      </c>
      <c r="S26" s="18" t="s">
        <v>76</v>
      </c>
      <c r="T26" s="2">
        <v>14.2</v>
      </c>
      <c r="U26" s="2">
        <v>11</v>
      </c>
      <c r="V26" s="2">
        <v>11.5</v>
      </c>
      <c r="W26" s="2">
        <v>11.4</v>
      </c>
      <c r="X26" s="2">
        <v>11.4</v>
      </c>
      <c r="Y26" s="2">
        <v>11.4</v>
      </c>
      <c r="Z26" s="2">
        <v>11.2</v>
      </c>
      <c r="AA26" s="2">
        <v>12.4</v>
      </c>
      <c r="AB26" s="2">
        <v>10.5</v>
      </c>
      <c r="AC26" s="2">
        <v>12.6</v>
      </c>
      <c r="AD26" s="2">
        <v>12.6</v>
      </c>
      <c r="AE26" s="2">
        <v>13.1</v>
      </c>
      <c r="AF26" s="2">
        <v>11.4</v>
      </c>
      <c r="AG26" s="2">
        <v>12.3</v>
      </c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</row>
    <row r="27" spans="2:49">
      <c r="B27" s="18" t="s">
        <v>58</v>
      </c>
      <c r="C27" s="24">
        <f t="shared" ref="C27:C35" si="18">T27</f>
        <v>9.9</v>
      </c>
      <c r="D27" s="24">
        <f t="shared" si="17"/>
        <v>9.1999999999999993</v>
      </c>
      <c r="E27" s="24">
        <f t="shared" si="17"/>
        <v>9.8000000000000007</v>
      </c>
      <c r="F27" s="24">
        <f t="shared" si="17"/>
        <v>9.9</v>
      </c>
      <c r="G27" s="24">
        <f t="shared" si="17"/>
        <v>9.8000000000000007</v>
      </c>
      <c r="H27" s="24">
        <f t="shared" si="17"/>
        <v>9.9</v>
      </c>
      <c r="I27" s="24">
        <f t="shared" si="17"/>
        <v>9.3000000000000007</v>
      </c>
      <c r="J27" s="24">
        <f t="shared" si="17"/>
        <v>10.1</v>
      </c>
      <c r="K27" s="24">
        <f t="shared" si="17"/>
        <v>10.3</v>
      </c>
      <c r="L27" s="24">
        <f t="shared" si="17"/>
        <v>9.6</v>
      </c>
      <c r="M27" s="24">
        <f t="shared" si="17"/>
        <v>10.3</v>
      </c>
      <c r="N27" s="24">
        <f t="shared" si="17"/>
        <v>9.4</v>
      </c>
      <c r="O27" s="24">
        <f t="shared" si="17"/>
        <v>10</v>
      </c>
      <c r="P27" s="24">
        <f t="shared" si="17"/>
        <v>10</v>
      </c>
      <c r="Q27" s="23"/>
      <c r="R27" s="23"/>
      <c r="S27" s="18" t="s">
        <v>77</v>
      </c>
      <c r="T27" s="2">
        <v>9.9</v>
      </c>
      <c r="U27" s="2">
        <v>9.1999999999999993</v>
      </c>
      <c r="V27" s="2">
        <v>9.8000000000000007</v>
      </c>
      <c r="W27" s="2">
        <v>9.9</v>
      </c>
      <c r="X27" s="2">
        <v>9.8000000000000007</v>
      </c>
      <c r="Y27" s="2">
        <v>9.9</v>
      </c>
      <c r="Z27" s="2">
        <v>9.3000000000000007</v>
      </c>
      <c r="AA27" s="2">
        <v>10.1</v>
      </c>
      <c r="AB27" s="2">
        <v>10.3</v>
      </c>
      <c r="AC27" s="2">
        <v>9.6</v>
      </c>
      <c r="AD27" s="2">
        <v>10.3</v>
      </c>
      <c r="AE27" s="2">
        <v>9.4</v>
      </c>
      <c r="AF27" s="2">
        <v>10</v>
      </c>
      <c r="AG27" s="2">
        <v>10</v>
      </c>
      <c r="AH27" s="2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</row>
    <row r="28" spans="2:49" ht="14.45" customHeight="1">
      <c r="B28" s="18" t="s">
        <v>29</v>
      </c>
      <c r="C28" s="24">
        <f t="shared" si="18"/>
        <v>11.4</v>
      </c>
      <c r="D28" s="24">
        <f t="shared" si="17"/>
        <v>12</v>
      </c>
      <c r="E28" s="24">
        <f t="shared" si="17"/>
        <v>11.4</v>
      </c>
      <c r="F28" s="24">
        <f t="shared" si="17"/>
        <v>11.5</v>
      </c>
      <c r="G28" s="24">
        <f t="shared" si="17"/>
        <v>11.3</v>
      </c>
      <c r="H28" s="24">
        <f t="shared" si="17"/>
        <v>11.7</v>
      </c>
      <c r="I28" s="24">
        <f t="shared" si="17"/>
        <v>12.2</v>
      </c>
      <c r="J28" s="24">
        <f t="shared" si="17"/>
        <v>11.5</v>
      </c>
      <c r="K28" s="24">
        <f t="shared" si="17"/>
        <v>11.9</v>
      </c>
      <c r="L28" s="24">
        <f t="shared" si="17"/>
        <v>11.5</v>
      </c>
      <c r="M28" s="24">
        <f t="shared" si="17"/>
        <v>11.2</v>
      </c>
      <c r="N28" s="24">
        <f t="shared" si="17"/>
        <v>11.9</v>
      </c>
      <c r="O28" s="24">
        <f t="shared" si="17"/>
        <v>11.3</v>
      </c>
      <c r="P28" s="24">
        <f t="shared" si="17"/>
        <v>11.1</v>
      </c>
      <c r="Q28" s="23"/>
      <c r="R28" s="23"/>
      <c r="S28" s="18" t="s">
        <v>29</v>
      </c>
      <c r="T28" s="2">
        <v>11.4</v>
      </c>
      <c r="U28" s="2">
        <v>12</v>
      </c>
      <c r="V28" s="2">
        <v>11.4</v>
      </c>
      <c r="W28" s="2">
        <v>11.5</v>
      </c>
      <c r="X28" s="2">
        <v>11.3</v>
      </c>
      <c r="Y28" s="2">
        <v>11.7</v>
      </c>
      <c r="Z28" s="2">
        <v>12.2</v>
      </c>
      <c r="AA28" s="2">
        <v>11.5</v>
      </c>
      <c r="AB28" s="2">
        <v>11.9</v>
      </c>
      <c r="AC28" s="2">
        <v>11.5</v>
      </c>
      <c r="AD28" s="2">
        <v>11.2</v>
      </c>
      <c r="AE28" s="2">
        <v>11.9</v>
      </c>
      <c r="AF28" s="2">
        <v>11.3</v>
      </c>
      <c r="AG28" s="2">
        <v>11.1</v>
      </c>
      <c r="AH28" s="2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</row>
    <row r="29" spans="2:49" ht="14.45" customHeight="1">
      <c r="B29" s="18" t="s">
        <v>31</v>
      </c>
      <c r="C29" s="24">
        <f t="shared" si="18"/>
        <v>9.5</v>
      </c>
      <c r="D29" s="24">
        <f t="shared" si="17"/>
        <v>10.1</v>
      </c>
      <c r="E29" s="24">
        <f t="shared" si="17"/>
        <v>9.3000000000000007</v>
      </c>
      <c r="F29" s="24">
        <f t="shared" si="17"/>
        <v>9.6</v>
      </c>
      <c r="G29" s="24">
        <f t="shared" si="17"/>
        <v>9.1</v>
      </c>
      <c r="H29" s="24">
        <f t="shared" si="17"/>
        <v>10.199999999999999</v>
      </c>
      <c r="I29" s="24">
        <f t="shared" si="17"/>
        <v>9.6999999999999993</v>
      </c>
      <c r="J29" s="24">
        <f t="shared" si="17"/>
        <v>9.1</v>
      </c>
      <c r="K29" s="24">
        <f t="shared" si="17"/>
        <v>9.6</v>
      </c>
      <c r="L29" s="24">
        <f t="shared" si="17"/>
        <v>9.4</v>
      </c>
      <c r="M29" s="24">
        <f t="shared" si="17"/>
        <v>9.1999999999999993</v>
      </c>
      <c r="N29" s="24">
        <f t="shared" si="17"/>
        <v>9.3000000000000007</v>
      </c>
      <c r="O29" s="24">
        <f t="shared" si="17"/>
        <v>9.6</v>
      </c>
      <c r="P29" s="24">
        <f t="shared" si="17"/>
        <v>9.3000000000000007</v>
      </c>
      <c r="Q29" s="23"/>
      <c r="R29" s="23"/>
      <c r="S29" s="18" t="s">
        <v>31</v>
      </c>
      <c r="T29" s="2">
        <v>9.5</v>
      </c>
      <c r="U29" s="2">
        <v>10.1</v>
      </c>
      <c r="V29" s="2">
        <v>9.3000000000000007</v>
      </c>
      <c r="W29" s="2">
        <v>9.6</v>
      </c>
      <c r="X29" s="2">
        <v>9.1</v>
      </c>
      <c r="Y29" s="2">
        <v>10.199999999999999</v>
      </c>
      <c r="Z29" s="2">
        <v>9.6999999999999993</v>
      </c>
      <c r="AA29" s="2">
        <v>9.1</v>
      </c>
      <c r="AB29" s="2">
        <v>9.6</v>
      </c>
      <c r="AC29" s="2">
        <v>9.4</v>
      </c>
      <c r="AD29" s="2">
        <v>9.1999999999999993</v>
      </c>
      <c r="AE29" s="2">
        <v>9.3000000000000007</v>
      </c>
      <c r="AF29" s="2">
        <v>9.6</v>
      </c>
      <c r="AG29" s="2">
        <v>9.3000000000000007</v>
      </c>
      <c r="AH29" s="2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</row>
    <row r="30" spans="2:49">
      <c r="B30" s="18" t="s">
        <v>32</v>
      </c>
      <c r="C30" s="24">
        <f t="shared" si="18"/>
        <v>9.1999999999999993</v>
      </c>
      <c r="D30" s="24">
        <f t="shared" si="17"/>
        <v>9.5</v>
      </c>
      <c r="E30" s="24">
        <f t="shared" si="17"/>
        <v>9.3000000000000007</v>
      </c>
      <c r="F30" s="24">
        <f t="shared" si="17"/>
        <v>9.3000000000000007</v>
      </c>
      <c r="G30" s="24">
        <f t="shared" si="17"/>
        <v>9.3000000000000007</v>
      </c>
      <c r="H30" s="24">
        <f t="shared" si="17"/>
        <v>9.5</v>
      </c>
      <c r="I30" s="24">
        <f t="shared" si="17"/>
        <v>9.6999999999999993</v>
      </c>
      <c r="J30" s="24">
        <f t="shared" si="17"/>
        <v>9.1</v>
      </c>
      <c r="K30" s="24">
        <f t="shared" si="17"/>
        <v>9.3000000000000007</v>
      </c>
      <c r="L30" s="24">
        <f t="shared" si="17"/>
        <v>9.4</v>
      </c>
      <c r="M30" s="24">
        <f t="shared" si="17"/>
        <v>9.1</v>
      </c>
      <c r="N30" s="24">
        <f t="shared" si="17"/>
        <v>9.1999999999999993</v>
      </c>
      <c r="O30" s="24">
        <f t="shared" si="17"/>
        <v>9.4</v>
      </c>
      <c r="P30" s="24">
        <f t="shared" si="17"/>
        <v>9.5</v>
      </c>
      <c r="Q30" s="27"/>
      <c r="R30" s="27"/>
      <c r="S30" s="18" t="s">
        <v>32</v>
      </c>
      <c r="T30" s="2">
        <v>9.1999999999999993</v>
      </c>
      <c r="U30" s="2">
        <v>9.5</v>
      </c>
      <c r="V30" s="2">
        <v>9.3000000000000007</v>
      </c>
      <c r="W30" s="2">
        <v>9.3000000000000007</v>
      </c>
      <c r="X30" s="2">
        <v>9.3000000000000007</v>
      </c>
      <c r="Y30" s="2">
        <v>9.5</v>
      </c>
      <c r="Z30" s="2">
        <v>9.6999999999999993</v>
      </c>
      <c r="AA30" s="2">
        <v>9.1</v>
      </c>
      <c r="AB30" s="2">
        <v>9.3000000000000007</v>
      </c>
      <c r="AC30" s="2">
        <v>9.4</v>
      </c>
      <c r="AD30" s="2">
        <v>9.1</v>
      </c>
      <c r="AE30" s="2">
        <v>9.1999999999999993</v>
      </c>
      <c r="AF30" s="2">
        <v>9.4</v>
      </c>
      <c r="AG30" s="2">
        <v>9.5</v>
      </c>
      <c r="AH30" s="2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</row>
    <row r="31" spans="2:49">
      <c r="B31" s="18" t="s">
        <v>33</v>
      </c>
      <c r="C31" s="24">
        <f t="shared" si="18"/>
        <v>9.6999999999999993</v>
      </c>
      <c r="D31" s="24">
        <f t="shared" si="17"/>
        <v>10.1</v>
      </c>
      <c r="E31" s="24">
        <f t="shared" si="17"/>
        <v>10</v>
      </c>
      <c r="F31" s="24">
        <f t="shared" si="17"/>
        <v>9.6</v>
      </c>
      <c r="G31" s="24">
        <f t="shared" si="17"/>
        <v>9.6999999999999993</v>
      </c>
      <c r="H31" s="24">
        <f t="shared" si="17"/>
        <v>10</v>
      </c>
      <c r="I31" s="24">
        <f t="shared" si="17"/>
        <v>10.5</v>
      </c>
      <c r="J31" s="24">
        <f t="shared" si="17"/>
        <v>9.6999999999999993</v>
      </c>
      <c r="K31" s="24">
        <f t="shared" si="17"/>
        <v>10</v>
      </c>
      <c r="L31" s="24">
        <f t="shared" si="17"/>
        <v>9.8000000000000007</v>
      </c>
      <c r="M31" s="24">
        <f t="shared" si="17"/>
        <v>9.8000000000000007</v>
      </c>
      <c r="N31" s="24">
        <f t="shared" si="17"/>
        <v>10.5</v>
      </c>
      <c r="O31" s="24">
        <f t="shared" si="17"/>
        <v>9.6999999999999993</v>
      </c>
      <c r="P31" s="24">
        <f t="shared" si="17"/>
        <v>9.6</v>
      </c>
      <c r="Q31" s="27"/>
      <c r="R31" s="27"/>
      <c r="S31" s="18" t="s">
        <v>33</v>
      </c>
      <c r="T31" s="2">
        <v>9.6999999999999993</v>
      </c>
      <c r="U31" s="2">
        <v>10.1</v>
      </c>
      <c r="V31" s="2">
        <v>10</v>
      </c>
      <c r="W31" s="2">
        <v>9.6</v>
      </c>
      <c r="X31" s="2">
        <v>9.6999999999999993</v>
      </c>
      <c r="Y31" s="2">
        <v>10</v>
      </c>
      <c r="Z31" s="2">
        <v>10.5</v>
      </c>
      <c r="AA31" s="2">
        <v>9.6999999999999993</v>
      </c>
      <c r="AB31" s="2">
        <v>10</v>
      </c>
      <c r="AC31" s="2">
        <v>9.8000000000000007</v>
      </c>
      <c r="AD31" s="2">
        <v>9.8000000000000007</v>
      </c>
      <c r="AE31" s="2">
        <v>10.5</v>
      </c>
      <c r="AF31" s="2">
        <v>9.6999999999999993</v>
      </c>
      <c r="AG31" s="2">
        <v>9.6</v>
      </c>
      <c r="AH31" s="2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</row>
    <row r="32" spans="2:49">
      <c r="B32" s="18" t="s">
        <v>95</v>
      </c>
      <c r="C32" s="24">
        <f t="shared" si="18"/>
        <v>10.199999999999999</v>
      </c>
      <c r="D32" s="24">
        <f t="shared" si="17"/>
        <v>10.3</v>
      </c>
      <c r="E32" s="24">
        <f t="shared" si="17"/>
        <v>10.8</v>
      </c>
      <c r="F32" s="24">
        <f t="shared" si="17"/>
        <v>10.7</v>
      </c>
      <c r="G32" s="24">
        <f t="shared" si="17"/>
        <v>10.8</v>
      </c>
      <c r="H32" s="24">
        <f t="shared" si="17"/>
        <v>10.3</v>
      </c>
      <c r="I32" s="24">
        <f t="shared" si="17"/>
        <v>9.8000000000000007</v>
      </c>
      <c r="J32" s="24">
        <f t="shared" si="17"/>
        <v>10.9</v>
      </c>
      <c r="K32" s="24">
        <f t="shared" si="17"/>
        <v>10.4</v>
      </c>
      <c r="L32" s="24">
        <f t="shared" si="17"/>
        <v>10.6</v>
      </c>
      <c r="M32" s="24">
        <f t="shared" si="17"/>
        <v>11.2</v>
      </c>
      <c r="N32" s="24">
        <f t="shared" si="17"/>
        <v>10.4</v>
      </c>
      <c r="O32" s="24">
        <f t="shared" si="17"/>
        <v>10.7</v>
      </c>
      <c r="P32" s="24">
        <f t="shared" si="17"/>
        <v>11.1</v>
      </c>
      <c r="Q32" s="27"/>
      <c r="R32" s="27"/>
      <c r="S32" s="18" t="s">
        <v>79</v>
      </c>
      <c r="T32" s="2">
        <v>10.199999999999999</v>
      </c>
      <c r="U32" s="2">
        <v>10.3</v>
      </c>
      <c r="V32" s="2">
        <v>10.8</v>
      </c>
      <c r="W32" s="2">
        <v>10.7</v>
      </c>
      <c r="X32" s="2">
        <v>10.8</v>
      </c>
      <c r="Y32" s="2">
        <v>10.3</v>
      </c>
      <c r="Z32" s="2">
        <v>9.8000000000000007</v>
      </c>
      <c r="AA32" s="2">
        <v>10.9</v>
      </c>
      <c r="AB32" s="2">
        <v>10.4</v>
      </c>
      <c r="AC32" s="2">
        <v>10.6</v>
      </c>
      <c r="AD32" s="2">
        <v>11.2</v>
      </c>
      <c r="AE32" s="2">
        <v>10.4</v>
      </c>
      <c r="AF32" s="2">
        <v>10.7</v>
      </c>
      <c r="AG32" s="2">
        <v>11.1</v>
      </c>
      <c r="AH32" s="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</row>
    <row r="33" spans="2:49">
      <c r="B33" s="18" t="s">
        <v>94</v>
      </c>
      <c r="C33" s="24">
        <f t="shared" si="18"/>
        <v>9.1999999999999993</v>
      </c>
      <c r="D33" s="24">
        <f t="shared" si="17"/>
        <v>9.4</v>
      </c>
      <c r="E33" s="24">
        <f t="shared" si="17"/>
        <v>9.5</v>
      </c>
      <c r="F33" s="24">
        <f t="shared" si="17"/>
        <v>9.4</v>
      </c>
      <c r="G33" s="24">
        <f t="shared" si="17"/>
        <v>9.5</v>
      </c>
      <c r="H33" s="24">
        <f t="shared" si="17"/>
        <v>9</v>
      </c>
      <c r="I33" s="24">
        <f t="shared" si="17"/>
        <v>9.1</v>
      </c>
      <c r="J33" s="24">
        <f t="shared" si="17"/>
        <v>9.3000000000000007</v>
      </c>
      <c r="K33" s="24">
        <f t="shared" si="17"/>
        <v>9.1999999999999993</v>
      </c>
      <c r="L33" s="24">
        <f t="shared" si="17"/>
        <v>9.4</v>
      </c>
      <c r="M33" s="24">
        <f t="shared" si="17"/>
        <v>9</v>
      </c>
      <c r="N33" s="24">
        <f t="shared" si="17"/>
        <v>8.8000000000000007</v>
      </c>
      <c r="O33" s="24">
        <f t="shared" si="17"/>
        <v>9.3000000000000007</v>
      </c>
      <c r="P33" s="24">
        <f t="shared" si="17"/>
        <v>9.1999999999999993</v>
      </c>
      <c r="Q33" s="27"/>
      <c r="R33" s="27"/>
      <c r="S33" s="18" t="s">
        <v>78</v>
      </c>
      <c r="T33" s="2">
        <v>9.1999999999999993</v>
      </c>
      <c r="U33" s="2">
        <v>9.4</v>
      </c>
      <c r="V33" s="2">
        <v>9.5</v>
      </c>
      <c r="W33" s="2">
        <v>9.4</v>
      </c>
      <c r="X33" s="2">
        <v>9.5</v>
      </c>
      <c r="Y33" s="2">
        <v>9</v>
      </c>
      <c r="Z33" s="2">
        <v>9.1</v>
      </c>
      <c r="AA33" s="2">
        <v>9.3000000000000007</v>
      </c>
      <c r="AB33" s="2">
        <v>9.1999999999999993</v>
      </c>
      <c r="AC33" s="2">
        <v>9.4</v>
      </c>
      <c r="AD33" s="2">
        <v>9</v>
      </c>
      <c r="AE33" s="2">
        <v>8.8000000000000007</v>
      </c>
      <c r="AF33" s="2">
        <v>9.3000000000000007</v>
      </c>
      <c r="AG33" s="2">
        <v>9.1999999999999993</v>
      </c>
      <c r="AH33" s="2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</row>
    <row r="34" spans="2:49">
      <c r="B34" s="17" t="s">
        <v>91</v>
      </c>
      <c r="C34" s="24">
        <f t="shared" si="18"/>
        <v>9.5</v>
      </c>
      <c r="D34" s="24">
        <f t="shared" si="17"/>
        <v>9.1999999999999993</v>
      </c>
      <c r="E34" s="24">
        <f t="shared" si="17"/>
        <v>9.3000000000000007</v>
      </c>
      <c r="F34" s="24">
        <f t="shared" si="17"/>
        <v>9.6</v>
      </c>
      <c r="G34" s="24">
        <f t="shared" si="17"/>
        <v>9.3000000000000007</v>
      </c>
      <c r="H34" s="24">
        <f t="shared" si="17"/>
        <v>9.1</v>
      </c>
      <c r="I34" s="24">
        <f t="shared" si="17"/>
        <v>9.9</v>
      </c>
      <c r="J34" s="24">
        <f t="shared" si="17"/>
        <v>9.3000000000000007</v>
      </c>
      <c r="K34" s="24">
        <f t="shared" si="17"/>
        <v>9.5</v>
      </c>
      <c r="L34" s="24">
        <f t="shared" si="17"/>
        <v>9.4</v>
      </c>
      <c r="M34" s="24">
        <f t="shared" si="17"/>
        <v>9.3000000000000007</v>
      </c>
      <c r="N34" s="24">
        <f t="shared" si="17"/>
        <v>9.6</v>
      </c>
      <c r="O34" s="24">
        <f t="shared" si="17"/>
        <v>9.1999999999999993</v>
      </c>
      <c r="P34" s="24">
        <f t="shared" si="17"/>
        <v>9.4</v>
      </c>
      <c r="Q34" s="27"/>
      <c r="R34" s="27"/>
      <c r="S34" s="18" t="s">
        <v>83</v>
      </c>
      <c r="T34" s="2">
        <v>9.5</v>
      </c>
      <c r="U34" s="2">
        <v>9.1999999999999993</v>
      </c>
      <c r="V34" s="2">
        <v>9.3000000000000007</v>
      </c>
      <c r="W34" s="2">
        <v>9.6</v>
      </c>
      <c r="X34" s="2">
        <v>9.3000000000000007</v>
      </c>
      <c r="Y34" s="2">
        <v>9.1</v>
      </c>
      <c r="Z34" s="2">
        <v>9.9</v>
      </c>
      <c r="AA34" s="2">
        <v>9.3000000000000007</v>
      </c>
      <c r="AB34" s="2">
        <v>9.5</v>
      </c>
      <c r="AC34" s="2">
        <v>9.4</v>
      </c>
      <c r="AD34" s="2">
        <v>9.3000000000000007</v>
      </c>
      <c r="AE34" s="2">
        <v>9.6</v>
      </c>
      <c r="AF34" s="2">
        <v>9.1999999999999993</v>
      </c>
      <c r="AG34" s="2">
        <v>9.4</v>
      </c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</row>
    <row r="35" spans="2:49">
      <c r="B35" s="17" t="s">
        <v>57</v>
      </c>
      <c r="C35" s="24">
        <f t="shared" si="18"/>
        <v>10.7</v>
      </c>
      <c r="D35" s="24">
        <f t="shared" si="17"/>
        <v>11.6</v>
      </c>
      <c r="E35" s="24">
        <f t="shared" si="17"/>
        <v>12.2</v>
      </c>
      <c r="F35" s="24">
        <f t="shared" si="17"/>
        <v>11.9</v>
      </c>
      <c r="G35" s="24">
        <f t="shared" si="17"/>
        <v>11.8</v>
      </c>
      <c r="H35" s="24">
        <f t="shared" si="17"/>
        <v>11.9</v>
      </c>
      <c r="I35" s="24">
        <f t="shared" si="17"/>
        <v>11.1</v>
      </c>
      <c r="J35" s="24">
        <f t="shared" si="17"/>
        <v>11.9</v>
      </c>
      <c r="K35" s="24">
        <f t="shared" si="17"/>
        <v>11.5</v>
      </c>
      <c r="L35" s="24">
        <f t="shared" si="17"/>
        <v>11</v>
      </c>
      <c r="M35" s="24">
        <f t="shared" si="17"/>
        <v>12.2</v>
      </c>
      <c r="N35" s="24">
        <f t="shared" si="17"/>
        <v>11.8</v>
      </c>
      <c r="O35" s="24">
        <f t="shared" si="17"/>
        <v>12.1</v>
      </c>
      <c r="P35" s="24">
        <f t="shared" si="17"/>
        <v>12.1</v>
      </c>
      <c r="Q35" s="27"/>
      <c r="R35" s="27"/>
      <c r="S35" s="18" t="s">
        <v>81</v>
      </c>
      <c r="T35" s="2">
        <v>10.7</v>
      </c>
      <c r="U35" s="2">
        <v>11.6</v>
      </c>
      <c r="V35" s="2">
        <v>12.2</v>
      </c>
      <c r="W35" s="2">
        <v>11.9</v>
      </c>
      <c r="X35" s="2">
        <v>11.8</v>
      </c>
      <c r="Y35" s="2">
        <v>11.9</v>
      </c>
      <c r="Z35" s="2">
        <v>11.1</v>
      </c>
      <c r="AA35" s="2">
        <v>11.9</v>
      </c>
      <c r="AB35" s="2">
        <v>11.5</v>
      </c>
      <c r="AC35" s="2">
        <v>11</v>
      </c>
      <c r="AD35" s="2">
        <v>12.2</v>
      </c>
      <c r="AE35" s="2">
        <v>11.8</v>
      </c>
      <c r="AF35" s="2">
        <v>12.1</v>
      </c>
      <c r="AG35" s="2">
        <v>12.1</v>
      </c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</row>
    <row r="36" spans="2:49">
      <c r="B36" s="18" t="s">
        <v>89</v>
      </c>
      <c r="C36" s="24">
        <f>T36</f>
        <v>9.5</v>
      </c>
      <c r="D36" s="24">
        <f t="shared" si="17"/>
        <v>9.6999999999999993</v>
      </c>
      <c r="E36" s="24">
        <f t="shared" si="17"/>
        <v>10</v>
      </c>
      <c r="F36" s="24">
        <f t="shared" si="17"/>
        <v>10.1</v>
      </c>
      <c r="G36" s="24">
        <f t="shared" si="17"/>
        <v>10</v>
      </c>
      <c r="H36" s="24">
        <f t="shared" si="17"/>
        <v>9.8000000000000007</v>
      </c>
      <c r="I36" s="24">
        <f t="shared" si="17"/>
        <v>9.4</v>
      </c>
      <c r="J36" s="24">
        <f t="shared" si="17"/>
        <v>9.8000000000000007</v>
      </c>
      <c r="K36" s="24">
        <f t="shared" si="17"/>
        <v>9.6999999999999993</v>
      </c>
      <c r="L36" s="24">
        <f t="shared" si="17"/>
        <v>9.5</v>
      </c>
      <c r="M36" s="24">
        <f t="shared" si="17"/>
        <v>9.9</v>
      </c>
      <c r="N36" s="24">
        <f t="shared" si="17"/>
        <v>9.6</v>
      </c>
      <c r="O36" s="24">
        <f t="shared" si="17"/>
        <v>10.199999999999999</v>
      </c>
      <c r="P36" s="24">
        <f t="shared" si="17"/>
        <v>9.8000000000000007</v>
      </c>
      <c r="Q36" s="27"/>
      <c r="R36" s="27"/>
      <c r="S36" s="18" t="s">
        <v>80</v>
      </c>
      <c r="T36" s="2">
        <v>9.5</v>
      </c>
      <c r="U36" s="2">
        <v>9.6999999999999993</v>
      </c>
      <c r="V36" s="2">
        <v>10</v>
      </c>
      <c r="W36" s="2">
        <v>10.1</v>
      </c>
      <c r="X36" s="2">
        <v>10</v>
      </c>
      <c r="Y36" s="2">
        <v>9.8000000000000007</v>
      </c>
      <c r="Z36" s="2">
        <v>9.4</v>
      </c>
      <c r="AA36" s="2">
        <v>9.8000000000000007</v>
      </c>
      <c r="AB36" s="2">
        <v>9.6999999999999993</v>
      </c>
      <c r="AC36" s="2">
        <v>9.5</v>
      </c>
      <c r="AD36" s="2">
        <v>9.9</v>
      </c>
      <c r="AE36" s="2">
        <v>9.6</v>
      </c>
      <c r="AF36" s="2">
        <v>10.199999999999999</v>
      </c>
      <c r="AG36" s="2">
        <v>9.8000000000000007</v>
      </c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</row>
    <row r="37" spans="2:49">
      <c r="B37" s="46" t="s">
        <v>99</v>
      </c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27"/>
      <c r="R37" s="27"/>
      <c r="S37" s="18"/>
      <c r="AG37" s="2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</row>
    <row r="38" spans="2:49">
      <c r="B38" s="17" t="s">
        <v>92</v>
      </c>
      <c r="C38" s="34">
        <f>T38</f>
        <v>9.4</v>
      </c>
      <c r="D38" s="34">
        <f t="shared" ref="D38:P39" si="19">U38</f>
        <v>9.1</v>
      </c>
      <c r="E38" s="34">
        <f t="shared" si="19"/>
        <v>9.1999999999999993</v>
      </c>
      <c r="F38" s="34">
        <f t="shared" si="19"/>
        <v>9.6</v>
      </c>
      <c r="G38" s="34">
        <f t="shared" si="19"/>
        <v>9.3000000000000007</v>
      </c>
      <c r="H38" s="34">
        <f t="shared" si="19"/>
        <v>9.1</v>
      </c>
      <c r="I38" s="34">
        <f t="shared" si="19"/>
        <v>9.9</v>
      </c>
      <c r="J38" s="34">
        <f t="shared" si="19"/>
        <v>9.1999999999999993</v>
      </c>
      <c r="K38" s="34">
        <f t="shared" si="19"/>
        <v>9.4</v>
      </c>
      <c r="L38" s="34">
        <f t="shared" si="19"/>
        <v>9.5</v>
      </c>
      <c r="M38" s="34">
        <f t="shared" si="19"/>
        <v>9.1999999999999993</v>
      </c>
      <c r="N38" s="34">
        <f t="shared" si="19"/>
        <v>9.6</v>
      </c>
      <c r="O38" s="34">
        <f t="shared" si="19"/>
        <v>9.1999999999999993</v>
      </c>
      <c r="P38" s="34">
        <f t="shared" si="19"/>
        <v>9.4</v>
      </c>
      <c r="Q38" s="27"/>
      <c r="R38" s="27"/>
      <c r="S38" s="18" t="s">
        <v>84</v>
      </c>
      <c r="T38" s="2">
        <v>9.4</v>
      </c>
      <c r="U38" s="2">
        <v>9.1</v>
      </c>
      <c r="V38" s="2">
        <v>9.1999999999999993</v>
      </c>
      <c r="W38" s="2">
        <v>9.6</v>
      </c>
      <c r="X38" s="2">
        <v>9.3000000000000007</v>
      </c>
      <c r="Y38" s="2">
        <v>9.1</v>
      </c>
      <c r="Z38" s="2">
        <v>9.9</v>
      </c>
      <c r="AA38" s="2">
        <v>9.1999999999999993</v>
      </c>
      <c r="AB38" s="2">
        <v>9.4</v>
      </c>
      <c r="AC38" s="2">
        <v>9.5</v>
      </c>
      <c r="AD38" s="2">
        <v>9.1999999999999993</v>
      </c>
      <c r="AE38" s="2">
        <v>9.6</v>
      </c>
      <c r="AF38" s="2">
        <v>9.1999999999999993</v>
      </c>
      <c r="AG38" s="2">
        <v>9.4</v>
      </c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</row>
    <row r="39" spans="2:49">
      <c r="B39" s="17" t="s">
        <v>88</v>
      </c>
      <c r="C39" s="36">
        <f>T39</f>
        <v>9.6999999999999993</v>
      </c>
      <c r="D39" s="36">
        <f t="shared" si="19"/>
        <v>10.4</v>
      </c>
      <c r="E39" s="36">
        <f t="shared" si="19"/>
        <v>9.9</v>
      </c>
      <c r="F39" s="36">
        <f t="shared" si="19"/>
        <v>9.6</v>
      </c>
      <c r="G39" s="36">
        <f t="shared" si="19"/>
        <v>10.199999999999999</v>
      </c>
      <c r="H39" s="36">
        <f t="shared" si="19"/>
        <v>10.1</v>
      </c>
      <c r="I39" s="36">
        <f t="shared" si="19"/>
        <v>9.6</v>
      </c>
      <c r="J39" s="36">
        <f t="shared" si="19"/>
        <v>10</v>
      </c>
      <c r="K39" s="36">
        <f t="shared" si="19"/>
        <v>9.6999999999999993</v>
      </c>
      <c r="L39" s="36">
        <f t="shared" si="19"/>
        <v>9.8000000000000007</v>
      </c>
      <c r="M39" s="36">
        <f t="shared" si="19"/>
        <v>9.6999999999999993</v>
      </c>
      <c r="N39" s="36">
        <f t="shared" si="19"/>
        <v>9.6999999999999993</v>
      </c>
      <c r="O39" s="36">
        <f t="shared" si="19"/>
        <v>9.9</v>
      </c>
      <c r="P39" s="36">
        <f t="shared" si="19"/>
        <v>9.5</v>
      </c>
      <c r="Q39" s="27"/>
      <c r="R39" s="27"/>
      <c r="S39" s="18" t="s">
        <v>82</v>
      </c>
      <c r="T39" s="2">
        <v>9.6999999999999993</v>
      </c>
      <c r="U39" s="2">
        <v>10.4</v>
      </c>
      <c r="V39" s="2">
        <v>9.9</v>
      </c>
      <c r="W39" s="2">
        <v>9.6</v>
      </c>
      <c r="X39" s="2">
        <v>10.199999999999999</v>
      </c>
      <c r="Y39" s="2">
        <v>10.1</v>
      </c>
      <c r="Z39" s="2">
        <v>9.6</v>
      </c>
      <c r="AA39" s="2">
        <v>10</v>
      </c>
      <c r="AB39" s="2">
        <v>9.6999999999999993</v>
      </c>
      <c r="AC39" s="2">
        <v>9.8000000000000007</v>
      </c>
      <c r="AD39" s="2">
        <v>9.6999999999999993</v>
      </c>
      <c r="AE39" s="2">
        <v>9.6999999999999993</v>
      </c>
      <c r="AF39" s="2">
        <v>9.9</v>
      </c>
      <c r="AG39" s="2">
        <v>9.5</v>
      </c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</row>
    <row r="40" spans="2:49">
      <c r="B40" s="46" t="s">
        <v>100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27"/>
      <c r="R40" s="27"/>
      <c r="S40" s="18"/>
      <c r="AG40" s="2"/>
      <c r="AH40" s="19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</row>
    <row r="41" spans="2:49">
      <c r="B41" s="18" t="s">
        <v>59</v>
      </c>
      <c r="C41" s="34">
        <f>T41</f>
        <v>8.9</v>
      </c>
      <c r="D41" s="34">
        <f t="shared" ref="D41:P42" si="20">U41</f>
        <v>9</v>
      </c>
      <c r="E41" s="34">
        <f t="shared" si="20"/>
        <v>8.9</v>
      </c>
      <c r="F41" s="34">
        <f t="shared" si="20"/>
        <v>9</v>
      </c>
      <c r="G41" s="34">
        <f t="shared" si="20"/>
        <v>9</v>
      </c>
      <c r="H41" s="34">
        <f t="shared" si="20"/>
        <v>8.8000000000000007</v>
      </c>
      <c r="I41" s="34">
        <f t="shared" si="20"/>
        <v>9.1</v>
      </c>
      <c r="J41" s="34">
        <f t="shared" si="20"/>
        <v>8.8000000000000007</v>
      </c>
      <c r="K41" s="34">
        <f t="shared" si="20"/>
        <v>9.1999999999999993</v>
      </c>
      <c r="L41" s="34">
        <f t="shared" si="20"/>
        <v>9.1</v>
      </c>
      <c r="M41" s="34">
        <f t="shared" si="20"/>
        <v>8.9</v>
      </c>
      <c r="N41" s="34">
        <f t="shared" si="20"/>
        <v>9</v>
      </c>
      <c r="O41" s="34">
        <f t="shared" si="20"/>
        <v>9</v>
      </c>
      <c r="P41" s="34">
        <f t="shared" si="20"/>
        <v>8.9</v>
      </c>
      <c r="Q41" s="27"/>
      <c r="R41" s="27"/>
      <c r="S41" s="18" t="s">
        <v>85</v>
      </c>
      <c r="T41" s="2">
        <v>8.9</v>
      </c>
      <c r="U41" s="2">
        <v>9</v>
      </c>
      <c r="V41" s="2">
        <v>8.9</v>
      </c>
      <c r="W41" s="2">
        <v>9</v>
      </c>
      <c r="X41" s="2">
        <v>9</v>
      </c>
      <c r="Y41" s="2">
        <v>8.8000000000000007</v>
      </c>
      <c r="Z41" s="2">
        <v>9.1</v>
      </c>
      <c r="AA41" s="2">
        <v>8.8000000000000007</v>
      </c>
      <c r="AB41" s="2">
        <v>9.1999999999999993</v>
      </c>
      <c r="AC41" s="2">
        <v>9.1</v>
      </c>
      <c r="AD41" s="2">
        <v>8.9</v>
      </c>
      <c r="AE41" s="2">
        <v>9</v>
      </c>
      <c r="AF41" s="2">
        <v>9</v>
      </c>
      <c r="AG41" s="2">
        <v>8.9</v>
      </c>
      <c r="AH41" s="19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</row>
    <row r="42" spans="2:49" ht="15.75" thickBot="1">
      <c r="B42" s="21" t="s">
        <v>60</v>
      </c>
      <c r="C42" s="35">
        <f>T42</f>
        <v>8.9</v>
      </c>
      <c r="D42" s="35">
        <f t="shared" si="20"/>
        <v>9</v>
      </c>
      <c r="E42" s="35">
        <f t="shared" si="20"/>
        <v>9.1</v>
      </c>
      <c r="F42" s="35">
        <f t="shared" si="20"/>
        <v>9.1</v>
      </c>
      <c r="G42" s="35">
        <f t="shared" si="20"/>
        <v>9.1</v>
      </c>
      <c r="H42" s="35">
        <f t="shared" si="20"/>
        <v>9</v>
      </c>
      <c r="I42" s="35">
        <f t="shared" si="20"/>
        <v>9.1999999999999993</v>
      </c>
      <c r="J42" s="35">
        <f t="shared" si="20"/>
        <v>8.8000000000000007</v>
      </c>
      <c r="K42" s="35">
        <f t="shared" si="20"/>
        <v>9.3000000000000007</v>
      </c>
      <c r="L42" s="35">
        <f t="shared" si="20"/>
        <v>9.1</v>
      </c>
      <c r="M42" s="35">
        <f t="shared" si="20"/>
        <v>9.1</v>
      </c>
      <c r="N42" s="35">
        <f t="shared" si="20"/>
        <v>8.9</v>
      </c>
      <c r="O42" s="35">
        <f t="shared" si="20"/>
        <v>9.1</v>
      </c>
      <c r="P42" s="35">
        <f t="shared" si="20"/>
        <v>9.1999999999999993</v>
      </c>
      <c r="Q42" s="27"/>
      <c r="R42" s="27"/>
      <c r="S42" s="18" t="s">
        <v>86</v>
      </c>
      <c r="T42" s="2">
        <v>8.9</v>
      </c>
      <c r="U42" s="2">
        <v>9</v>
      </c>
      <c r="V42" s="2">
        <v>9.1</v>
      </c>
      <c r="W42" s="2">
        <v>9.1</v>
      </c>
      <c r="X42" s="2">
        <v>9.1</v>
      </c>
      <c r="Y42" s="2">
        <v>9</v>
      </c>
      <c r="Z42" s="2">
        <v>9.1999999999999993</v>
      </c>
      <c r="AA42" s="2">
        <v>8.8000000000000007</v>
      </c>
      <c r="AB42" s="2">
        <v>9.3000000000000007</v>
      </c>
      <c r="AC42" s="2">
        <v>9.1</v>
      </c>
      <c r="AD42" s="2">
        <v>9.1</v>
      </c>
      <c r="AE42" s="2">
        <v>8.9</v>
      </c>
      <c r="AF42" s="2">
        <v>9.1</v>
      </c>
      <c r="AG42" s="2">
        <v>9.1999999999999993</v>
      </c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</row>
    <row r="43" spans="2:49" ht="15" customHeight="1">
      <c r="B43" s="43" t="s">
        <v>104</v>
      </c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27"/>
      <c r="R43" s="27"/>
      <c r="S43" s="18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</row>
    <row r="44" spans="2:49" ht="14.45" customHeight="1"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27"/>
      <c r="R44" s="27"/>
      <c r="S44" s="18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</row>
    <row r="45" spans="2:49"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27"/>
      <c r="R45" s="27"/>
      <c r="S45" s="18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</row>
    <row r="46" spans="2:49"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27"/>
      <c r="R46" s="27"/>
      <c r="S46" s="18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</row>
    <row r="47" spans="2:49"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27"/>
      <c r="R47" s="27"/>
      <c r="S47" s="18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</row>
    <row r="48" spans="2:49"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27"/>
      <c r="R48" s="27"/>
      <c r="S48" s="1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</row>
    <row r="49" spans="2:49"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27"/>
      <c r="R49" s="27"/>
      <c r="S49" s="18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</row>
    <row r="50" spans="2:49">
      <c r="B50" s="26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18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</row>
    <row r="51" spans="2:49">
      <c r="B51" s="26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18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</row>
    <row r="52" spans="2:49">
      <c r="B52" s="26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18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</row>
    <row r="53" spans="2:49">
      <c r="B53" s="26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</row>
    <row r="54" spans="2:49">
      <c r="B54" s="26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18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</row>
    <row r="55" spans="2:49">
      <c r="B55" s="26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18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</row>
    <row r="56" spans="2:49">
      <c r="B56" s="26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</row>
    <row r="57" spans="2:49">
      <c r="B57" s="17"/>
      <c r="S57" s="18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</row>
    <row r="58" spans="2:49">
      <c r="B58" s="17"/>
      <c r="S58" s="1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</row>
    <row r="59" spans="2:49">
      <c r="B59" s="17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</row>
    <row r="60" spans="2:49">
      <c r="B60" s="17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</row>
    <row r="61" spans="2:49">
      <c r="B61" s="17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</row>
    <row r="62" spans="2:49">
      <c r="B62" s="17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</row>
    <row r="63" spans="2:49">
      <c r="B63" s="17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</row>
    <row r="64" spans="2:49"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</row>
    <row r="65" spans="2:49"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</row>
    <row r="66" spans="2:49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</row>
    <row r="67" spans="2:49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</row>
    <row r="70" spans="2:49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</row>
    <row r="71" spans="2:49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</row>
    <row r="73" spans="2:49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</row>
    <row r="74" spans="2:49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</row>
    <row r="76" spans="2:49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</row>
    <row r="77" spans="2:49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</row>
  </sheetData>
  <mergeCells count="8">
    <mergeCell ref="B2:P2"/>
    <mergeCell ref="B5:P5"/>
    <mergeCell ref="B18:P18"/>
    <mergeCell ref="B21:P21"/>
    <mergeCell ref="B24:P24"/>
    <mergeCell ref="B37:P37"/>
    <mergeCell ref="B40:P40"/>
    <mergeCell ref="B43:P4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R50"/>
  <sheetViews>
    <sheetView topLeftCell="A3" zoomScale="85" zoomScaleNormal="85" workbookViewId="0">
      <selection activeCell="C22" sqref="C22"/>
    </sheetView>
  </sheetViews>
  <sheetFormatPr defaultRowHeight="15"/>
  <cols>
    <col min="2" max="2" width="11" bestFit="1" customWidth="1"/>
    <col min="3" max="9" width="6.7109375" style="2" customWidth="1"/>
    <col min="10" max="10" width="6" style="2" bestFit="1" customWidth="1"/>
    <col min="11" max="12" width="7.140625" style="2" bestFit="1" customWidth="1"/>
    <col min="13" max="16" width="5.5703125" style="2" bestFit="1" customWidth="1"/>
  </cols>
  <sheetData>
    <row r="3" spans="2:18">
      <c r="B3" s="3" t="s">
        <v>28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5" spans="2:18">
      <c r="B5" s="1"/>
      <c r="C5" s="8" t="s">
        <v>1</v>
      </c>
      <c r="D5" s="8" t="s">
        <v>2</v>
      </c>
      <c r="E5" s="8" t="s">
        <v>3</v>
      </c>
      <c r="F5" s="8" t="s">
        <v>4</v>
      </c>
      <c r="G5" s="8" t="s">
        <v>19</v>
      </c>
      <c r="H5" s="8" t="s">
        <v>20</v>
      </c>
      <c r="I5" s="8" t="s">
        <v>21</v>
      </c>
      <c r="J5" s="8" t="s">
        <v>1</v>
      </c>
      <c r="K5" s="8" t="s">
        <v>2</v>
      </c>
      <c r="L5" s="8" t="s">
        <v>3</v>
      </c>
      <c r="M5" s="8" t="s">
        <v>4</v>
      </c>
      <c r="N5" s="8" t="s">
        <v>19</v>
      </c>
      <c r="O5" s="8" t="s">
        <v>20</v>
      </c>
      <c r="P5" s="8" t="s">
        <v>21</v>
      </c>
      <c r="R5" s="2"/>
    </row>
    <row r="6" spans="2:18">
      <c r="C6" s="47" t="s">
        <v>22</v>
      </c>
      <c r="D6" s="47"/>
      <c r="E6" s="47"/>
      <c r="F6" s="47"/>
      <c r="G6" s="47"/>
      <c r="H6" s="47"/>
      <c r="I6" s="47"/>
      <c r="J6" s="47" t="s">
        <v>24</v>
      </c>
      <c r="K6" s="47"/>
      <c r="L6" s="47"/>
      <c r="M6" s="47"/>
      <c r="N6" s="47"/>
      <c r="O6" s="47"/>
      <c r="P6" s="47"/>
      <c r="R6" s="2"/>
    </row>
    <row r="7" spans="2:18" ht="14.45" customHeight="1">
      <c r="B7" t="s">
        <v>5</v>
      </c>
      <c r="C7" s="11">
        <v>0.02</v>
      </c>
      <c r="D7" s="2">
        <v>0.94</v>
      </c>
      <c r="E7" s="2">
        <v>9.34</v>
      </c>
      <c r="F7" s="11">
        <v>-0.75</v>
      </c>
      <c r="G7" s="11">
        <v>0</v>
      </c>
      <c r="H7" s="11">
        <v>0</v>
      </c>
      <c r="I7" s="11">
        <v>-0.01</v>
      </c>
      <c r="J7" s="2">
        <v>6.2</v>
      </c>
      <c r="K7" s="2">
        <v>220.7</v>
      </c>
      <c r="L7" s="2">
        <v>506.8</v>
      </c>
      <c r="M7" s="2">
        <v>13</v>
      </c>
      <c r="N7" s="11">
        <v>-0.03</v>
      </c>
      <c r="O7" s="11">
        <v>0.08</v>
      </c>
      <c r="P7" s="11">
        <v>0</v>
      </c>
    </row>
    <row r="8" spans="2:18" ht="14.45" customHeight="1">
      <c r="B8" t="s">
        <v>13</v>
      </c>
      <c r="C8" s="11">
        <v>0.04</v>
      </c>
      <c r="D8" s="2">
        <v>1.46</v>
      </c>
      <c r="E8" s="2">
        <v>12.2</v>
      </c>
      <c r="F8" s="11">
        <v>-0.38</v>
      </c>
      <c r="G8" s="11">
        <v>0.04</v>
      </c>
      <c r="H8" s="11">
        <v>0.03</v>
      </c>
      <c r="I8" s="11">
        <v>0.01</v>
      </c>
      <c r="J8" s="2">
        <v>24</v>
      </c>
      <c r="K8" s="2">
        <v>256.10000000000002</v>
      </c>
      <c r="L8" s="2">
        <v>443.4</v>
      </c>
      <c r="M8" s="2">
        <v>-7.7</v>
      </c>
      <c r="N8" s="11">
        <v>-7.0000000000000007E-2</v>
      </c>
      <c r="O8" s="11">
        <v>-0.04</v>
      </c>
      <c r="P8" s="11">
        <v>-0.01</v>
      </c>
    </row>
    <row r="9" spans="2:18" ht="14.45" customHeight="1">
      <c r="B9" t="s">
        <v>14</v>
      </c>
      <c r="C9" s="11">
        <v>0</v>
      </c>
      <c r="D9" s="2">
        <v>1.42</v>
      </c>
      <c r="E9" s="2">
        <v>8.91</v>
      </c>
      <c r="F9" s="11">
        <v>-0.23</v>
      </c>
      <c r="G9" s="11">
        <v>-0.01</v>
      </c>
      <c r="H9" s="11">
        <v>-0.02</v>
      </c>
      <c r="I9" s="11">
        <v>0.01</v>
      </c>
      <c r="J9" s="2">
        <v>7.7</v>
      </c>
      <c r="K9" s="2">
        <v>167.9</v>
      </c>
      <c r="L9" s="2">
        <v>120.8</v>
      </c>
      <c r="M9" s="2">
        <v>3.7</v>
      </c>
      <c r="N9" s="11">
        <v>-0.09</v>
      </c>
      <c r="O9" s="11">
        <v>0.04</v>
      </c>
      <c r="P9" s="11">
        <v>7.0000000000000007E-2</v>
      </c>
    </row>
    <row r="10" spans="2:18" ht="14.45" customHeight="1">
      <c r="B10" t="s">
        <v>6</v>
      </c>
      <c r="C10" s="11">
        <v>0</v>
      </c>
      <c r="D10" s="2">
        <v>1.17</v>
      </c>
      <c r="E10" s="2">
        <v>10.17</v>
      </c>
      <c r="F10" s="11">
        <v>-0.28999999999999998</v>
      </c>
      <c r="G10" s="11">
        <v>-0.02</v>
      </c>
      <c r="H10" s="11">
        <v>-0.01</v>
      </c>
      <c r="I10" s="11">
        <v>0.02</v>
      </c>
      <c r="J10" s="2">
        <v>11.4</v>
      </c>
      <c r="K10" s="2">
        <v>455.8</v>
      </c>
      <c r="L10" s="2">
        <v>709.7</v>
      </c>
      <c r="M10" s="2">
        <v>19.7</v>
      </c>
      <c r="N10" s="11">
        <v>-0.11</v>
      </c>
      <c r="O10" s="11">
        <v>0.09</v>
      </c>
      <c r="P10" s="11">
        <v>0</v>
      </c>
    </row>
    <row r="11" spans="2:18" ht="14.45" customHeight="1">
      <c r="B11" t="s">
        <v>7</v>
      </c>
      <c r="C11" s="11">
        <v>0.02</v>
      </c>
      <c r="D11" s="2">
        <v>1.46</v>
      </c>
      <c r="E11" s="2">
        <v>9.3699999999999992</v>
      </c>
      <c r="F11" s="11">
        <v>-0.16</v>
      </c>
      <c r="G11" s="11">
        <v>0.01</v>
      </c>
      <c r="H11" s="11">
        <v>-0.02</v>
      </c>
      <c r="I11" s="11">
        <v>0.02</v>
      </c>
      <c r="J11" s="2">
        <v>12.4</v>
      </c>
      <c r="K11" s="2">
        <v>280.39999999999998</v>
      </c>
      <c r="L11" s="2">
        <v>168.2</v>
      </c>
      <c r="M11" s="2">
        <v>1.3</v>
      </c>
      <c r="N11" s="11">
        <v>0.03</v>
      </c>
      <c r="O11" s="11">
        <v>-0.01</v>
      </c>
      <c r="P11" s="11">
        <v>0.01</v>
      </c>
    </row>
    <row r="12" spans="2:18" ht="14.45" customHeight="1">
      <c r="B12" t="s">
        <v>8</v>
      </c>
      <c r="C12" s="11">
        <v>0.02</v>
      </c>
      <c r="D12" s="2">
        <v>1.05</v>
      </c>
      <c r="E12" s="2">
        <v>19.829999999999998</v>
      </c>
      <c r="F12" s="11">
        <v>-1.2</v>
      </c>
      <c r="G12" s="11">
        <v>-0.03</v>
      </c>
      <c r="H12" s="11">
        <v>0.01</v>
      </c>
      <c r="I12" s="11">
        <v>0</v>
      </c>
      <c r="J12" s="2">
        <v>-4.2</v>
      </c>
      <c r="K12" s="2">
        <v>1041.3</v>
      </c>
      <c r="L12" s="2">
        <v>3650.9</v>
      </c>
      <c r="M12" s="2">
        <v>-55.9</v>
      </c>
      <c r="N12" s="11">
        <v>-0.11</v>
      </c>
      <c r="O12" s="11">
        <v>0.06</v>
      </c>
      <c r="P12" s="11">
        <v>0</v>
      </c>
    </row>
    <row r="13" spans="2:18" ht="14.45" customHeight="1">
      <c r="B13" t="s">
        <v>15</v>
      </c>
      <c r="C13" s="11">
        <v>0.01</v>
      </c>
      <c r="D13" s="2">
        <v>1.46</v>
      </c>
      <c r="E13" s="2">
        <v>10.67</v>
      </c>
      <c r="F13" s="11">
        <v>-0.12</v>
      </c>
      <c r="G13" s="11">
        <v>-0.01</v>
      </c>
      <c r="H13" s="11">
        <v>-0.03</v>
      </c>
      <c r="I13" s="11">
        <v>-0.02</v>
      </c>
      <c r="J13" s="2">
        <v>8.6999999999999993</v>
      </c>
      <c r="K13" s="2">
        <v>185.2</v>
      </c>
      <c r="L13" s="2">
        <v>198.9</v>
      </c>
      <c r="M13" s="2">
        <v>-2.9</v>
      </c>
      <c r="N13" s="11">
        <v>-0.08</v>
      </c>
      <c r="O13" s="11">
        <v>-0.03</v>
      </c>
      <c r="P13" s="11">
        <v>-7.0000000000000007E-2</v>
      </c>
    </row>
    <row r="14" spans="2:18" ht="14.45" customHeight="1">
      <c r="B14" t="s">
        <v>9</v>
      </c>
      <c r="C14" s="11">
        <v>0.02</v>
      </c>
      <c r="D14" s="2">
        <v>1.59</v>
      </c>
      <c r="E14" s="2">
        <v>9.74</v>
      </c>
      <c r="F14" s="11">
        <v>-0.18</v>
      </c>
      <c r="G14" s="11">
        <v>-0.06</v>
      </c>
      <c r="H14" s="11">
        <v>-0.01</v>
      </c>
      <c r="I14" s="11">
        <v>-0.01</v>
      </c>
      <c r="J14" s="2">
        <v>1.1000000000000001</v>
      </c>
      <c r="K14" s="2">
        <v>217.7</v>
      </c>
      <c r="L14" s="2">
        <v>620.9</v>
      </c>
      <c r="M14" s="2">
        <v>2.7</v>
      </c>
      <c r="N14" s="11">
        <v>-0.13</v>
      </c>
      <c r="O14" s="11">
        <v>-0.01</v>
      </c>
      <c r="P14" s="11">
        <v>0</v>
      </c>
    </row>
    <row r="15" spans="2:18" ht="14.45" customHeight="1">
      <c r="B15" t="s">
        <v>16</v>
      </c>
      <c r="C15" s="11">
        <v>0.02</v>
      </c>
      <c r="D15" s="2">
        <v>1.47</v>
      </c>
      <c r="E15" s="2">
        <v>10.58</v>
      </c>
      <c r="F15" s="11">
        <v>-0.63</v>
      </c>
      <c r="G15" s="11">
        <v>0.02</v>
      </c>
      <c r="H15" s="11">
        <v>0</v>
      </c>
      <c r="I15" s="11">
        <v>-0.02</v>
      </c>
      <c r="J15" s="2">
        <v>10.3</v>
      </c>
      <c r="K15" s="2">
        <v>155.30000000000001</v>
      </c>
      <c r="L15" s="2">
        <v>114.4</v>
      </c>
      <c r="M15" s="2">
        <v>4.5</v>
      </c>
      <c r="N15" s="11">
        <v>0.03</v>
      </c>
      <c r="O15" s="11">
        <v>0.06</v>
      </c>
      <c r="P15" s="11">
        <v>0.01</v>
      </c>
    </row>
    <row r="16" spans="2:18" ht="14.45" customHeight="1">
      <c r="B16" t="s">
        <v>10</v>
      </c>
      <c r="C16" s="11">
        <v>0.01</v>
      </c>
      <c r="D16" s="2">
        <v>1.48</v>
      </c>
      <c r="E16" s="2">
        <v>9.2799999999999994</v>
      </c>
      <c r="F16" s="11">
        <v>-0.39</v>
      </c>
      <c r="G16" s="11">
        <v>-0.03</v>
      </c>
      <c r="H16" s="11">
        <v>0.02</v>
      </c>
      <c r="I16" s="11">
        <v>-0.01</v>
      </c>
      <c r="J16" s="2">
        <v>7.9</v>
      </c>
      <c r="K16" s="2">
        <v>207.7</v>
      </c>
      <c r="L16" s="2">
        <v>131.30000000000001</v>
      </c>
      <c r="M16" s="2">
        <v>5.4</v>
      </c>
      <c r="N16" s="11">
        <v>-0.05</v>
      </c>
      <c r="O16" s="11">
        <v>0.03</v>
      </c>
      <c r="P16" s="11">
        <v>0.01</v>
      </c>
    </row>
    <row r="17" spans="2:16" ht="14.45" customHeight="1">
      <c r="B17" t="s">
        <v>11</v>
      </c>
      <c r="C17" s="11">
        <v>0.02</v>
      </c>
      <c r="D17" s="2">
        <v>1.24</v>
      </c>
      <c r="E17" s="2">
        <v>13.69</v>
      </c>
      <c r="F17" s="11">
        <v>-0.39</v>
      </c>
      <c r="G17" s="11">
        <v>-0.11</v>
      </c>
      <c r="H17" s="11">
        <v>0.01</v>
      </c>
      <c r="I17" s="11">
        <v>0.01</v>
      </c>
      <c r="J17" s="2">
        <v>2.9</v>
      </c>
      <c r="K17" s="2">
        <v>238.1</v>
      </c>
      <c r="L17" s="2">
        <v>92.3</v>
      </c>
      <c r="M17" s="2">
        <v>1.4</v>
      </c>
      <c r="N17" s="11">
        <v>-0.15</v>
      </c>
      <c r="O17" s="11">
        <v>0.01</v>
      </c>
      <c r="P17" s="11">
        <v>0.06</v>
      </c>
    </row>
    <row r="18" spans="2:16" ht="14.45" customHeight="1">
      <c r="B18" t="s">
        <v>17</v>
      </c>
      <c r="C18" s="11">
        <v>0.02</v>
      </c>
      <c r="D18" s="2">
        <v>1.54</v>
      </c>
      <c r="E18" s="2">
        <v>8.07</v>
      </c>
      <c r="F18" s="11">
        <v>-0.37</v>
      </c>
      <c r="G18" s="11">
        <v>0.03</v>
      </c>
      <c r="H18" s="11">
        <v>0</v>
      </c>
      <c r="I18" s="11">
        <v>0.01</v>
      </c>
      <c r="J18" s="2">
        <v>-6.6</v>
      </c>
      <c r="K18" s="2">
        <v>236.8</v>
      </c>
      <c r="L18" s="2">
        <v>45.6</v>
      </c>
      <c r="M18" s="2">
        <v>-1</v>
      </c>
      <c r="N18" s="11">
        <v>-0.11</v>
      </c>
      <c r="O18" s="11">
        <v>-0.02</v>
      </c>
      <c r="P18" s="11">
        <v>-0.01</v>
      </c>
    </row>
    <row r="19" spans="2:16" ht="14.45" customHeight="1">
      <c r="B19" t="s">
        <v>18</v>
      </c>
      <c r="C19" s="11">
        <v>0.01</v>
      </c>
      <c r="D19" s="2">
        <v>1.1599999999999999</v>
      </c>
      <c r="E19" s="2">
        <v>11.33</v>
      </c>
      <c r="F19" s="11">
        <v>-0.33</v>
      </c>
      <c r="G19" s="11">
        <v>0.02</v>
      </c>
      <c r="H19" s="11">
        <v>0.01</v>
      </c>
      <c r="I19" s="11">
        <v>0.01</v>
      </c>
      <c r="J19" s="2">
        <v>6.4</v>
      </c>
      <c r="K19" s="2">
        <v>249.5</v>
      </c>
      <c r="L19" s="2">
        <v>1022.9</v>
      </c>
      <c r="M19" s="2">
        <v>22.9</v>
      </c>
      <c r="N19" s="11">
        <v>-0.12</v>
      </c>
      <c r="O19" s="11">
        <v>0.12</v>
      </c>
      <c r="P19" s="11">
        <v>0</v>
      </c>
    </row>
    <row r="20" spans="2:16" ht="14.45" customHeight="1">
      <c r="B20" s="1" t="s">
        <v>12</v>
      </c>
      <c r="C20" s="12">
        <v>0</v>
      </c>
      <c r="D20" s="8">
        <v>1.43</v>
      </c>
      <c r="E20" s="8">
        <v>8.7799999999999994</v>
      </c>
      <c r="F20" s="12">
        <v>-0.21</v>
      </c>
      <c r="G20" s="12">
        <v>-0.01</v>
      </c>
      <c r="H20" s="12">
        <v>-0.03</v>
      </c>
      <c r="I20" s="12">
        <v>0.02</v>
      </c>
      <c r="J20" s="8">
        <v>17.7</v>
      </c>
      <c r="K20" s="8">
        <v>421.6</v>
      </c>
      <c r="L20" s="8">
        <v>540.9</v>
      </c>
      <c r="M20" s="8">
        <v>15.4</v>
      </c>
      <c r="N20" s="12">
        <v>-0.06</v>
      </c>
      <c r="O20" s="12">
        <v>7.0000000000000007E-2</v>
      </c>
      <c r="P20" s="12">
        <v>0.01</v>
      </c>
    </row>
    <row r="21" spans="2:16" ht="14.45" customHeight="1">
      <c r="C21" s="47" t="s">
        <v>27</v>
      </c>
      <c r="D21" s="47"/>
      <c r="E21" s="47"/>
      <c r="F21" s="47"/>
      <c r="G21" s="47"/>
      <c r="H21" s="47"/>
      <c r="I21" s="47"/>
      <c r="J21" s="48" t="s">
        <v>25</v>
      </c>
      <c r="K21" s="48"/>
      <c r="L21" s="48"/>
      <c r="M21" s="48"/>
      <c r="N21" s="48"/>
      <c r="O21" s="48"/>
      <c r="P21" s="48"/>
    </row>
    <row r="22" spans="2:16" ht="14.45" customHeight="1">
      <c r="B22" t="s">
        <v>5</v>
      </c>
      <c r="C22" s="2">
        <v>63.8</v>
      </c>
      <c r="D22" s="2">
        <v>161.19999999999999</v>
      </c>
      <c r="E22" s="2">
        <v>256.89999999999998</v>
      </c>
      <c r="F22" s="9">
        <v>13.1</v>
      </c>
      <c r="G22" s="2">
        <v>0.51</v>
      </c>
      <c r="H22" s="2">
        <v>0.28000000000000003</v>
      </c>
      <c r="I22" s="2">
        <v>0.13</v>
      </c>
      <c r="J22" s="2">
        <v>37</v>
      </c>
      <c r="K22" s="2">
        <v>88.3</v>
      </c>
      <c r="L22" s="2">
        <v>294.5</v>
      </c>
      <c r="M22" s="2">
        <v>13.8</v>
      </c>
      <c r="N22" s="11">
        <v>0.75</v>
      </c>
      <c r="O22" s="11">
        <v>0.44</v>
      </c>
      <c r="P22" s="11">
        <v>0.22</v>
      </c>
    </row>
    <row r="23" spans="2:16" ht="14.45" customHeight="1">
      <c r="B23" t="s">
        <v>13</v>
      </c>
      <c r="C23" s="2">
        <v>173.6</v>
      </c>
      <c r="D23" s="2">
        <v>492</v>
      </c>
      <c r="E23" s="2">
        <v>643.9</v>
      </c>
      <c r="F23" s="9">
        <v>21.6</v>
      </c>
      <c r="G23" s="2">
        <v>0.37</v>
      </c>
      <c r="H23" s="2">
        <v>0.15</v>
      </c>
      <c r="I23" s="2">
        <v>0.08</v>
      </c>
      <c r="J23" s="2">
        <v>167.3</v>
      </c>
      <c r="K23" s="2">
        <v>313.5</v>
      </c>
      <c r="L23" s="2">
        <v>176.3</v>
      </c>
      <c r="M23" s="2">
        <v>9.5</v>
      </c>
      <c r="N23" s="11">
        <v>0.61</v>
      </c>
      <c r="O23" s="11">
        <v>0.38</v>
      </c>
      <c r="P23" s="11">
        <v>0.25</v>
      </c>
    </row>
    <row r="24" spans="2:16" ht="14.45" customHeight="1">
      <c r="B24" t="s">
        <v>14</v>
      </c>
      <c r="C24" s="2">
        <v>164.8</v>
      </c>
      <c r="D24" s="2">
        <v>302.8</v>
      </c>
      <c r="E24" s="2">
        <v>146.80000000000001</v>
      </c>
      <c r="F24" s="9">
        <v>9.5</v>
      </c>
      <c r="G24" s="2">
        <v>0.63</v>
      </c>
      <c r="H24" s="2">
        <v>0.38</v>
      </c>
      <c r="I24" s="2">
        <v>0.25</v>
      </c>
      <c r="J24" s="2">
        <v>154</v>
      </c>
      <c r="K24" s="2">
        <v>293.7</v>
      </c>
      <c r="L24" s="2">
        <v>117.1</v>
      </c>
      <c r="M24" s="2">
        <v>8.6999999999999993</v>
      </c>
      <c r="N24" s="11">
        <v>0.73</v>
      </c>
      <c r="O24" s="11">
        <v>0.43</v>
      </c>
      <c r="P24" s="11">
        <v>0.26</v>
      </c>
    </row>
    <row r="25" spans="2:16" ht="14.45" customHeight="1">
      <c r="B25" t="s">
        <v>6</v>
      </c>
      <c r="C25" s="2">
        <v>147.4</v>
      </c>
      <c r="D25" s="2">
        <v>313.89999999999998</v>
      </c>
      <c r="E25" s="2">
        <v>127.2</v>
      </c>
      <c r="F25" s="9">
        <v>9.3000000000000007</v>
      </c>
      <c r="G25" s="2">
        <v>0.55000000000000004</v>
      </c>
      <c r="H25" s="2">
        <v>0.32</v>
      </c>
      <c r="I25" s="2">
        <v>0.22</v>
      </c>
      <c r="J25" s="2">
        <v>98.6</v>
      </c>
      <c r="K25" s="2">
        <v>195.9</v>
      </c>
      <c r="L25" s="2">
        <v>114.6</v>
      </c>
      <c r="M25" s="2">
        <v>8.8000000000000007</v>
      </c>
      <c r="N25" s="11">
        <v>0.75</v>
      </c>
      <c r="O25" s="11">
        <v>0.47</v>
      </c>
      <c r="P25" s="11">
        <v>0.32</v>
      </c>
    </row>
    <row r="26" spans="2:16" ht="14.45" customHeight="1">
      <c r="B26" t="s">
        <v>7</v>
      </c>
      <c r="C26" s="2">
        <v>196</v>
      </c>
      <c r="D26" s="2">
        <v>369.1</v>
      </c>
      <c r="E26" s="2">
        <v>156.4</v>
      </c>
      <c r="F26" s="9">
        <v>9.1999999999999993</v>
      </c>
      <c r="G26" s="2">
        <v>0.69</v>
      </c>
      <c r="H26" s="2">
        <v>0.43</v>
      </c>
      <c r="I26" s="2">
        <v>0.28999999999999998</v>
      </c>
      <c r="J26" s="2">
        <v>170.4</v>
      </c>
      <c r="K26" s="2">
        <v>315.5</v>
      </c>
      <c r="L26" s="2">
        <v>100.4</v>
      </c>
      <c r="M26" s="2">
        <v>7.5</v>
      </c>
      <c r="N26" s="11">
        <v>0.76</v>
      </c>
      <c r="O26" s="11">
        <v>0.49</v>
      </c>
      <c r="P26" s="11">
        <v>0.33</v>
      </c>
    </row>
    <row r="27" spans="2:16" ht="14.45" customHeight="1">
      <c r="B27" t="s">
        <v>8</v>
      </c>
      <c r="C27" s="2">
        <v>109</v>
      </c>
      <c r="D27" s="2">
        <v>1059.4000000000001</v>
      </c>
      <c r="E27" s="2">
        <v>4104.7</v>
      </c>
      <c r="F27" s="9">
        <v>61.9</v>
      </c>
      <c r="G27" s="2">
        <v>0.11</v>
      </c>
      <c r="H27" s="2">
        <v>0.13</v>
      </c>
      <c r="I27" s="2">
        <v>0.06</v>
      </c>
      <c r="J27" s="2">
        <v>60.3</v>
      </c>
      <c r="K27" s="2">
        <v>178.7</v>
      </c>
      <c r="L27" s="2">
        <v>126.9</v>
      </c>
      <c r="M27" s="2">
        <v>9.9</v>
      </c>
      <c r="N27" s="11">
        <v>0.8</v>
      </c>
      <c r="O27" s="11">
        <v>0.5</v>
      </c>
      <c r="P27" s="11">
        <v>0.39</v>
      </c>
    </row>
    <row r="28" spans="2:16" ht="14.45" customHeight="1">
      <c r="B28" t="s">
        <v>15</v>
      </c>
      <c r="C28" s="2">
        <v>117.3</v>
      </c>
      <c r="D28" s="2">
        <v>225.8</v>
      </c>
      <c r="E28" s="2">
        <v>288.2</v>
      </c>
      <c r="F28" s="9">
        <v>13.4</v>
      </c>
      <c r="G28" s="2">
        <v>0.52</v>
      </c>
      <c r="H28" s="2">
        <v>0.34</v>
      </c>
      <c r="I28" s="2">
        <v>0.27</v>
      </c>
      <c r="J28" s="2">
        <v>50.6</v>
      </c>
      <c r="K28" s="2">
        <v>91.5</v>
      </c>
      <c r="L28" s="2">
        <v>337.2</v>
      </c>
      <c r="M28" s="2">
        <v>13.2</v>
      </c>
      <c r="N28" s="11">
        <v>0.66</v>
      </c>
      <c r="O28" s="11">
        <v>0.35</v>
      </c>
      <c r="P28" s="11">
        <v>0.25</v>
      </c>
    </row>
    <row r="29" spans="2:16" ht="14.45" customHeight="1">
      <c r="B29" t="s">
        <v>9</v>
      </c>
      <c r="C29" s="2">
        <v>156.4</v>
      </c>
      <c r="D29" s="2">
        <v>331.4</v>
      </c>
      <c r="E29" s="2">
        <v>147.1</v>
      </c>
      <c r="F29" s="9">
        <v>9.5</v>
      </c>
      <c r="G29" s="2">
        <v>0.56999999999999995</v>
      </c>
      <c r="H29" s="2">
        <v>0.38</v>
      </c>
      <c r="I29" s="2">
        <v>0.25</v>
      </c>
      <c r="J29" s="2">
        <v>162.5</v>
      </c>
      <c r="K29" s="2">
        <v>351.4</v>
      </c>
      <c r="L29" s="2">
        <v>202.1</v>
      </c>
      <c r="M29" s="2">
        <v>10.4</v>
      </c>
      <c r="N29" s="11">
        <v>0.62</v>
      </c>
      <c r="O29" s="11">
        <v>0.39</v>
      </c>
      <c r="P29" s="11">
        <v>0.27</v>
      </c>
    </row>
    <row r="30" spans="2:16" ht="14.45" customHeight="1">
      <c r="B30" t="s">
        <v>16</v>
      </c>
      <c r="C30" s="2">
        <v>145.19999999999999</v>
      </c>
      <c r="D30" s="2">
        <v>270.5</v>
      </c>
      <c r="E30" s="2">
        <v>155.30000000000001</v>
      </c>
      <c r="F30" s="9">
        <v>9.4</v>
      </c>
      <c r="G30" s="2">
        <v>0.69</v>
      </c>
      <c r="H30" s="2">
        <v>0.43</v>
      </c>
      <c r="I30" s="2">
        <v>0.32</v>
      </c>
      <c r="J30" s="2">
        <v>134</v>
      </c>
      <c r="K30" s="2">
        <v>251.7</v>
      </c>
      <c r="L30" s="2">
        <v>106.6</v>
      </c>
      <c r="M30" s="2">
        <v>8.1</v>
      </c>
      <c r="N30" s="11">
        <v>0.73</v>
      </c>
      <c r="O30" s="11">
        <v>0.54</v>
      </c>
      <c r="P30" s="11">
        <v>0.35</v>
      </c>
    </row>
    <row r="31" spans="2:16" ht="14.45" customHeight="1">
      <c r="B31" t="s">
        <v>10</v>
      </c>
      <c r="C31" s="2">
        <v>124</v>
      </c>
      <c r="D31" s="2">
        <v>209.5</v>
      </c>
      <c r="E31" s="2">
        <v>96.1</v>
      </c>
      <c r="F31" s="9">
        <v>8</v>
      </c>
      <c r="G31" s="2">
        <v>0.64</v>
      </c>
      <c r="H31" s="2">
        <v>0.42</v>
      </c>
      <c r="I31" s="2">
        <v>0.19</v>
      </c>
      <c r="J31" s="2">
        <v>71</v>
      </c>
      <c r="K31" s="2">
        <v>134.6</v>
      </c>
      <c r="L31" s="2">
        <v>167.5</v>
      </c>
      <c r="M31" s="2">
        <v>10.5</v>
      </c>
      <c r="N31" s="11">
        <v>0.66</v>
      </c>
      <c r="O31" s="11">
        <v>0.42</v>
      </c>
      <c r="P31" s="11">
        <v>0.18</v>
      </c>
    </row>
    <row r="32" spans="2:16" ht="14.45" customHeight="1">
      <c r="B32" t="s">
        <v>11</v>
      </c>
      <c r="C32" s="2">
        <v>136.9</v>
      </c>
      <c r="D32" s="2">
        <v>341.6</v>
      </c>
      <c r="E32" s="2">
        <v>230.1</v>
      </c>
      <c r="F32" s="9">
        <v>11.7</v>
      </c>
      <c r="G32" s="2">
        <v>0.62</v>
      </c>
      <c r="H32" s="2">
        <v>0.43</v>
      </c>
      <c r="I32" s="2">
        <v>0.28000000000000003</v>
      </c>
      <c r="J32" s="2">
        <v>122.2</v>
      </c>
      <c r="K32" s="2">
        <v>316.2</v>
      </c>
      <c r="L32" s="2">
        <v>156.1</v>
      </c>
      <c r="M32" s="2">
        <v>10.4</v>
      </c>
      <c r="N32" s="11">
        <v>0.72</v>
      </c>
      <c r="O32" s="11">
        <v>0.46</v>
      </c>
      <c r="P32" s="11">
        <v>0.32</v>
      </c>
    </row>
    <row r="33" spans="2:16" ht="14.45" customHeight="1">
      <c r="B33" t="s">
        <v>17</v>
      </c>
      <c r="C33" s="2">
        <v>202.3</v>
      </c>
      <c r="D33" s="2">
        <v>354.4</v>
      </c>
      <c r="E33" s="2">
        <v>76.3</v>
      </c>
      <c r="F33" s="9">
        <v>6.8</v>
      </c>
      <c r="G33" s="2">
        <v>0.56000000000000005</v>
      </c>
      <c r="H33" s="2">
        <v>0.34</v>
      </c>
      <c r="I33" s="2">
        <v>0.28999999999999998</v>
      </c>
      <c r="J33" s="2">
        <v>106.9</v>
      </c>
      <c r="K33" s="2">
        <v>199.3</v>
      </c>
      <c r="L33" s="2">
        <v>129.9</v>
      </c>
      <c r="M33" s="2">
        <v>8</v>
      </c>
      <c r="N33" s="11">
        <v>0.61</v>
      </c>
      <c r="O33" s="11">
        <v>0.35</v>
      </c>
      <c r="P33" s="11">
        <v>0.32</v>
      </c>
    </row>
    <row r="34" spans="2:16" ht="14.45" customHeight="1">
      <c r="B34" t="s">
        <v>18</v>
      </c>
      <c r="C34" s="2">
        <v>105.8</v>
      </c>
      <c r="D34" s="2">
        <v>241.9</v>
      </c>
      <c r="E34" s="2">
        <v>211.9</v>
      </c>
      <c r="F34" s="9">
        <v>11.6</v>
      </c>
      <c r="G34" s="2">
        <v>0.65</v>
      </c>
      <c r="H34" s="2">
        <v>0.37</v>
      </c>
      <c r="I34" s="2">
        <v>0.2</v>
      </c>
      <c r="J34" s="2">
        <v>95</v>
      </c>
      <c r="K34" s="2">
        <v>177.9</v>
      </c>
      <c r="L34" s="2">
        <v>95.5</v>
      </c>
      <c r="M34" s="2">
        <v>7.9</v>
      </c>
      <c r="N34" s="11">
        <v>0.73</v>
      </c>
      <c r="O34" s="11">
        <v>0.47</v>
      </c>
      <c r="P34" s="11">
        <v>0.31</v>
      </c>
    </row>
    <row r="35" spans="2:16" ht="14.45" customHeight="1">
      <c r="B35" s="1" t="s">
        <v>12</v>
      </c>
      <c r="C35" s="8">
        <v>189.7</v>
      </c>
      <c r="D35" s="8">
        <v>359.9</v>
      </c>
      <c r="E35" s="8">
        <v>99.6</v>
      </c>
      <c r="F35" s="10">
        <v>8.1999999999999993</v>
      </c>
      <c r="G35" s="8">
        <v>0.64</v>
      </c>
      <c r="H35" s="8">
        <v>0.38</v>
      </c>
      <c r="I35" s="8">
        <v>0.23</v>
      </c>
      <c r="J35" s="8">
        <v>154</v>
      </c>
      <c r="K35" s="8">
        <v>286.39999999999998</v>
      </c>
      <c r="L35" s="8">
        <v>78.5</v>
      </c>
      <c r="M35" s="8">
        <v>7.3</v>
      </c>
      <c r="N35" s="12">
        <v>0.73</v>
      </c>
      <c r="O35" s="12">
        <v>0.44</v>
      </c>
      <c r="P35" s="12">
        <v>0.28999999999999998</v>
      </c>
    </row>
    <row r="36" spans="2:16" ht="14.45" customHeight="1">
      <c r="C36" s="47" t="s">
        <v>23</v>
      </c>
      <c r="D36" s="47"/>
      <c r="E36" s="47"/>
      <c r="F36" s="47"/>
      <c r="G36" s="47"/>
      <c r="H36" s="47"/>
      <c r="I36" s="47"/>
      <c r="J36" s="48" t="s">
        <v>26</v>
      </c>
      <c r="K36" s="48"/>
      <c r="L36" s="48"/>
      <c r="M36" s="48"/>
      <c r="N36" s="48"/>
      <c r="O36" s="48"/>
      <c r="P36" s="48"/>
    </row>
    <row r="37" spans="2:16" ht="14.45" customHeight="1">
      <c r="B37" t="s">
        <v>5</v>
      </c>
      <c r="C37" s="2">
        <v>96.8</v>
      </c>
      <c r="D37" s="2">
        <v>288.5</v>
      </c>
      <c r="E37" s="2">
        <v>550.1</v>
      </c>
      <c r="F37" s="9">
        <v>19.399999999999999</v>
      </c>
      <c r="G37" s="11">
        <v>0.5</v>
      </c>
      <c r="H37" s="11">
        <v>0.26</v>
      </c>
      <c r="I37" s="11">
        <v>0.11</v>
      </c>
      <c r="J37" s="2">
        <v>70</v>
      </c>
      <c r="K37" s="2">
        <v>248.4</v>
      </c>
      <c r="L37" s="2">
        <v>779.8</v>
      </c>
      <c r="M37" s="2">
        <v>23.4</v>
      </c>
      <c r="N37" s="11">
        <v>0.41</v>
      </c>
      <c r="O37" s="2">
        <v>0.27</v>
      </c>
      <c r="P37" s="11">
        <v>0.1</v>
      </c>
    </row>
    <row r="38" spans="2:16" ht="14.45" customHeight="1">
      <c r="B38" t="s">
        <v>13</v>
      </c>
      <c r="C38" s="2">
        <v>203.9</v>
      </c>
      <c r="D38" s="2">
        <v>778</v>
      </c>
      <c r="E38" s="2">
        <v>1224.4000000000001</v>
      </c>
      <c r="F38" s="9">
        <v>30.3</v>
      </c>
      <c r="G38" s="11">
        <v>0.28000000000000003</v>
      </c>
      <c r="H38" s="11">
        <v>7.0000000000000007E-2</v>
      </c>
      <c r="I38" s="11">
        <v>0.04</v>
      </c>
      <c r="J38" s="2">
        <v>197.5</v>
      </c>
      <c r="K38" s="2">
        <v>505.1</v>
      </c>
      <c r="L38" s="2">
        <v>585.5</v>
      </c>
      <c r="M38" s="2">
        <v>19.100000000000001</v>
      </c>
      <c r="N38" s="11">
        <v>0.44</v>
      </c>
      <c r="O38" s="2">
        <v>0.17</v>
      </c>
      <c r="P38" s="11">
        <v>0.11</v>
      </c>
    </row>
    <row r="39" spans="2:16" ht="14.45" customHeight="1">
      <c r="B39" t="s">
        <v>14</v>
      </c>
      <c r="C39" s="2">
        <v>183.3</v>
      </c>
      <c r="D39" s="2">
        <v>346.8</v>
      </c>
      <c r="E39" s="2">
        <v>199.3</v>
      </c>
      <c r="F39" s="9">
        <v>11.1</v>
      </c>
      <c r="G39" s="11">
        <v>0.54</v>
      </c>
      <c r="H39" s="11">
        <v>0.33</v>
      </c>
      <c r="I39" s="11">
        <v>0.22</v>
      </c>
      <c r="J39" s="2">
        <v>172.5</v>
      </c>
      <c r="K39" s="2">
        <v>325.5</v>
      </c>
      <c r="L39" s="2">
        <v>143.5</v>
      </c>
      <c r="M39" s="2">
        <v>9.5</v>
      </c>
      <c r="N39" s="11">
        <v>0.64</v>
      </c>
      <c r="O39" s="2">
        <v>0.39</v>
      </c>
      <c r="P39" s="11">
        <v>0.25</v>
      </c>
    </row>
    <row r="40" spans="2:16" ht="14.45" customHeight="1">
      <c r="B40" t="s">
        <v>6</v>
      </c>
      <c r="C40" s="2">
        <v>207.7</v>
      </c>
      <c r="D40" s="2">
        <v>597.4</v>
      </c>
      <c r="E40" s="2">
        <v>585.1</v>
      </c>
      <c r="F40" s="9">
        <v>19.600000000000001</v>
      </c>
      <c r="G40" s="11">
        <v>0.35</v>
      </c>
      <c r="H40" s="11">
        <v>0.27</v>
      </c>
      <c r="I40" s="11">
        <v>0.11</v>
      </c>
      <c r="J40" s="2">
        <v>158.80000000000001</v>
      </c>
      <c r="K40" s="2">
        <v>527.70000000000005</v>
      </c>
      <c r="L40" s="2">
        <v>793.7</v>
      </c>
      <c r="M40" s="2">
        <v>23.3</v>
      </c>
      <c r="N40" s="11">
        <v>0.25</v>
      </c>
      <c r="O40" s="2">
        <v>0.27</v>
      </c>
      <c r="P40" s="11">
        <v>0.1</v>
      </c>
    </row>
    <row r="41" spans="2:16" ht="14.45" customHeight="1">
      <c r="B41" t="s">
        <v>7</v>
      </c>
      <c r="C41" s="2">
        <v>233.8</v>
      </c>
      <c r="D41" s="2">
        <v>461.3</v>
      </c>
      <c r="E41" s="2">
        <v>143.9</v>
      </c>
      <c r="F41" s="9">
        <v>9.3000000000000007</v>
      </c>
      <c r="G41" s="11">
        <v>0.56999999999999995</v>
      </c>
      <c r="H41" s="11">
        <v>0.39</v>
      </c>
      <c r="I41" s="11">
        <v>0.26</v>
      </c>
      <c r="J41" s="2">
        <v>208.3</v>
      </c>
      <c r="K41" s="2">
        <v>410.9</v>
      </c>
      <c r="L41" s="2">
        <v>126.9</v>
      </c>
      <c r="M41" s="2">
        <v>8.6999999999999993</v>
      </c>
      <c r="N41" s="11">
        <v>0.56999999999999995</v>
      </c>
      <c r="O41" s="2">
        <v>0.41</v>
      </c>
      <c r="P41" s="11">
        <v>0.28000000000000003</v>
      </c>
    </row>
    <row r="42" spans="2:16" ht="14.45" customHeight="1">
      <c r="B42" t="s">
        <v>8</v>
      </c>
      <c r="C42" s="2">
        <v>153.5</v>
      </c>
      <c r="D42" s="2">
        <v>1124.7</v>
      </c>
      <c r="E42" s="2">
        <v>3221.7</v>
      </c>
      <c r="F42" s="9">
        <v>52.4</v>
      </c>
      <c r="G42" s="11">
        <v>0.25</v>
      </c>
      <c r="H42" s="11">
        <v>0.16</v>
      </c>
      <c r="I42" s="11">
        <v>7.0000000000000007E-2</v>
      </c>
      <c r="J42" s="2">
        <v>104.8</v>
      </c>
      <c r="K42" s="2">
        <v>409.3</v>
      </c>
      <c r="L42" s="2">
        <v>396.5</v>
      </c>
      <c r="M42" s="2">
        <v>16.899999999999999</v>
      </c>
      <c r="N42" s="11">
        <v>0.38</v>
      </c>
      <c r="O42" s="2">
        <v>0.26</v>
      </c>
      <c r="P42" s="11">
        <v>0.18</v>
      </c>
    </row>
    <row r="43" spans="2:16" ht="14.45" customHeight="1">
      <c r="B43" t="s">
        <v>15</v>
      </c>
      <c r="C43" s="2">
        <v>192.8</v>
      </c>
      <c r="D43" s="2">
        <v>346.1</v>
      </c>
      <c r="E43" s="2">
        <v>198.8</v>
      </c>
      <c r="F43" s="9">
        <v>10.9</v>
      </c>
      <c r="G43" s="11">
        <v>0.57999999999999996</v>
      </c>
      <c r="H43" s="11">
        <v>0.42</v>
      </c>
      <c r="I43" s="11">
        <v>0.34</v>
      </c>
      <c r="J43" s="2">
        <v>126</v>
      </c>
      <c r="K43" s="2">
        <v>229.6</v>
      </c>
      <c r="L43" s="2">
        <v>250.4</v>
      </c>
      <c r="M43" s="2">
        <v>11.7</v>
      </c>
      <c r="N43" s="11">
        <v>0.54</v>
      </c>
      <c r="O43" s="2">
        <v>0.37</v>
      </c>
      <c r="P43" s="11">
        <v>0.28000000000000003</v>
      </c>
    </row>
    <row r="44" spans="2:16" ht="14.45" customHeight="1">
      <c r="B44" t="s">
        <v>9</v>
      </c>
      <c r="C44" s="2">
        <v>151.30000000000001</v>
      </c>
      <c r="D44" s="2">
        <v>332</v>
      </c>
      <c r="E44" s="2">
        <v>430.1</v>
      </c>
      <c r="F44" s="9">
        <v>15.6</v>
      </c>
      <c r="G44" s="11">
        <v>0.48</v>
      </c>
      <c r="H44" s="11">
        <v>0.28000000000000003</v>
      </c>
      <c r="I44" s="11">
        <v>0.2</v>
      </c>
      <c r="J44" s="2">
        <v>157.5</v>
      </c>
      <c r="K44" s="2">
        <v>317</v>
      </c>
      <c r="L44" s="2">
        <v>354.7</v>
      </c>
      <c r="M44" s="2">
        <v>12.9</v>
      </c>
      <c r="N44" s="11">
        <v>0.63</v>
      </c>
      <c r="O44" s="2">
        <v>0.36</v>
      </c>
      <c r="P44" s="11">
        <v>0.27</v>
      </c>
    </row>
    <row r="45" spans="2:16" ht="14.45" customHeight="1">
      <c r="B45" t="s">
        <v>16</v>
      </c>
      <c r="C45" s="2">
        <v>166.8</v>
      </c>
      <c r="D45" s="2">
        <v>334.6</v>
      </c>
      <c r="E45" s="2">
        <v>225.7</v>
      </c>
      <c r="F45" s="9">
        <v>11.4</v>
      </c>
      <c r="G45" s="11">
        <v>0.59</v>
      </c>
      <c r="H45" s="11">
        <v>0.32</v>
      </c>
      <c r="I45" s="11">
        <v>0.24</v>
      </c>
      <c r="J45" s="2">
        <v>155.6</v>
      </c>
      <c r="K45" s="2">
        <v>295.89999999999998</v>
      </c>
      <c r="L45" s="2">
        <v>145.69999999999999</v>
      </c>
      <c r="M45" s="2">
        <v>9.1999999999999993</v>
      </c>
      <c r="N45" s="11">
        <v>0.66</v>
      </c>
      <c r="O45" s="2">
        <v>0.45</v>
      </c>
      <c r="P45" s="11">
        <v>0.28999999999999998</v>
      </c>
    </row>
    <row r="46" spans="2:16">
      <c r="B46" t="s">
        <v>10</v>
      </c>
      <c r="C46" s="2">
        <v>184.8</v>
      </c>
      <c r="D46" s="2">
        <v>330</v>
      </c>
      <c r="E46" s="2">
        <v>142.19999999999999</v>
      </c>
      <c r="F46" s="9">
        <v>9.6</v>
      </c>
      <c r="G46" s="11">
        <v>0.56000000000000005</v>
      </c>
      <c r="H46" s="11">
        <v>0.34</v>
      </c>
      <c r="I46" s="11">
        <v>0.17</v>
      </c>
      <c r="J46" s="2">
        <v>131.9</v>
      </c>
      <c r="K46" s="2">
        <v>271.5</v>
      </c>
      <c r="L46" s="2">
        <v>194.4</v>
      </c>
      <c r="M46" s="2">
        <v>11.5</v>
      </c>
      <c r="N46" s="11">
        <v>0.43</v>
      </c>
      <c r="O46" s="2">
        <v>0.3</v>
      </c>
      <c r="P46" s="11">
        <v>0.15</v>
      </c>
    </row>
    <row r="47" spans="2:16">
      <c r="B47" t="s">
        <v>11</v>
      </c>
      <c r="C47" s="2">
        <v>154.5</v>
      </c>
      <c r="D47" s="2">
        <v>395.7</v>
      </c>
      <c r="E47" s="2">
        <v>268.60000000000002</v>
      </c>
      <c r="F47" s="9">
        <v>12.9</v>
      </c>
      <c r="G47" s="11">
        <v>0.54</v>
      </c>
      <c r="H47" s="11">
        <v>0.38</v>
      </c>
      <c r="I47" s="11">
        <v>0.22</v>
      </c>
      <c r="J47" s="2">
        <v>139.80000000000001</v>
      </c>
      <c r="K47" s="2">
        <v>359.7</v>
      </c>
      <c r="L47" s="2">
        <v>162.30000000000001</v>
      </c>
      <c r="M47" s="2">
        <v>10.4</v>
      </c>
      <c r="N47" s="11">
        <v>0.56999999999999995</v>
      </c>
      <c r="O47" s="2">
        <v>0.41</v>
      </c>
      <c r="P47" s="11">
        <v>0.27</v>
      </c>
    </row>
    <row r="48" spans="2:16">
      <c r="B48" t="s">
        <v>17</v>
      </c>
      <c r="C48" s="2">
        <v>291.10000000000002</v>
      </c>
      <c r="D48" s="2">
        <v>496.8</v>
      </c>
      <c r="E48" s="2">
        <v>58.5</v>
      </c>
      <c r="F48" s="9">
        <v>6.2</v>
      </c>
      <c r="G48" s="11">
        <v>0.63</v>
      </c>
      <c r="H48" s="11">
        <v>0.34</v>
      </c>
      <c r="I48" s="11">
        <v>0.31</v>
      </c>
      <c r="J48" s="2">
        <v>195.7</v>
      </c>
      <c r="K48" s="2">
        <v>353.7</v>
      </c>
      <c r="L48" s="2">
        <v>54.2</v>
      </c>
      <c r="M48" s="2">
        <v>6</v>
      </c>
      <c r="N48" s="11">
        <v>0.61</v>
      </c>
      <c r="O48" s="2">
        <v>0.32</v>
      </c>
      <c r="P48" s="11">
        <v>0.31</v>
      </c>
    </row>
    <row r="49" spans="2:16">
      <c r="B49" t="s">
        <v>18</v>
      </c>
      <c r="C49" s="2">
        <v>122.9</v>
      </c>
      <c r="D49" s="2">
        <v>372.6</v>
      </c>
      <c r="E49" s="2">
        <v>426.1</v>
      </c>
      <c r="F49" s="9">
        <v>17.2</v>
      </c>
      <c r="G49" s="11">
        <v>0.52</v>
      </c>
      <c r="H49" s="11">
        <v>0.33</v>
      </c>
      <c r="I49" s="11">
        <v>0.1</v>
      </c>
      <c r="J49" s="2">
        <v>112.1</v>
      </c>
      <c r="K49" s="2">
        <v>321.5</v>
      </c>
      <c r="L49" s="2">
        <v>609.9</v>
      </c>
      <c r="M49" s="2">
        <v>20.100000000000001</v>
      </c>
      <c r="N49" s="11">
        <v>0.43</v>
      </c>
      <c r="O49" s="2">
        <v>0.34</v>
      </c>
      <c r="P49" s="11">
        <v>0.11</v>
      </c>
    </row>
    <row r="50" spans="2:16" ht="15.75" thickBot="1">
      <c r="B50" s="4" t="s">
        <v>12</v>
      </c>
      <c r="C50" s="5">
        <v>243</v>
      </c>
      <c r="D50" s="5">
        <v>596.70000000000005</v>
      </c>
      <c r="E50" s="5">
        <v>440</v>
      </c>
      <c r="F50" s="10">
        <v>16.2</v>
      </c>
      <c r="G50" s="12">
        <v>0.44</v>
      </c>
      <c r="H50" s="12">
        <v>0.32</v>
      </c>
      <c r="I50" s="12">
        <v>0.14000000000000001</v>
      </c>
      <c r="J50" s="5">
        <v>207.4</v>
      </c>
      <c r="K50" s="5">
        <v>547.1</v>
      </c>
      <c r="L50" s="5">
        <v>537.4</v>
      </c>
      <c r="M50" s="5">
        <v>18.100000000000001</v>
      </c>
      <c r="N50" s="12">
        <v>0.38</v>
      </c>
      <c r="O50" s="5">
        <v>0.31</v>
      </c>
      <c r="P50" s="12">
        <v>0.14000000000000001</v>
      </c>
    </row>
  </sheetData>
  <mergeCells count="6">
    <mergeCell ref="C6:I6"/>
    <mergeCell ref="J6:P6"/>
    <mergeCell ref="C21:I21"/>
    <mergeCell ref="C36:I36"/>
    <mergeCell ref="J21:P21"/>
    <mergeCell ref="J36:P3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Y77"/>
  <sheetViews>
    <sheetView zoomScale="85" zoomScaleNormal="85" workbookViewId="0">
      <selection activeCell="B43" sqref="B43:P48"/>
    </sheetView>
  </sheetViews>
  <sheetFormatPr defaultRowHeight="15"/>
  <cols>
    <col min="1" max="1" width="8.7109375" customWidth="1"/>
    <col min="2" max="2" width="11.28515625" style="18" bestFit="1" customWidth="1"/>
    <col min="3" max="3" width="4.7109375" style="2" bestFit="1" customWidth="1"/>
    <col min="4" max="4" width="5.7109375" style="2" bestFit="1" customWidth="1"/>
    <col min="5" max="5" width="4.7109375" style="2" bestFit="1" customWidth="1"/>
    <col min="6" max="6" width="4.85546875" style="2" bestFit="1" customWidth="1"/>
    <col min="7" max="9" width="5.7109375" style="2" bestFit="1" customWidth="1"/>
    <col min="10" max="10" width="6.42578125" style="2" bestFit="1" customWidth="1"/>
    <col min="11" max="12" width="4.7109375" style="2" bestFit="1" customWidth="1"/>
    <col min="13" max="13" width="6.42578125" style="2" bestFit="1" customWidth="1"/>
    <col min="14" max="14" width="5.7109375" style="2" bestFit="1" customWidth="1"/>
    <col min="15" max="16" width="4.7109375" style="2" bestFit="1" customWidth="1"/>
    <col min="17" max="18" width="7" style="2" customWidth="1"/>
    <col min="19" max="19" width="10.5703125" style="2" bestFit="1" customWidth="1"/>
    <col min="20" max="20" width="5" style="2" bestFit="1" customWidth="1"/>
    <col min="21" max="24" width="6" style="2" bestFit="1" customWidth="1"/>
    <col min="25" max="25" width="7" style="2" bestFit="1" customWidth="1"/>
    <col min="26" max="26" width="6" style="2" bestFit="1" customWidth="1"/>
    <col min="27" max="27" width="6.28515625" style="2" bestFit="1" customWidth="1"/>
    <col min="28" max="28" width="6" style="2" bestFit="1" customWidth="1"/>
    <col min="29" max="29" width="5" style="2" bestFit="1" customWidth="1"/>
    <col min="30" max="30" width="6.28515625" style="2" bestFit="1" customWidth="1"/>
    <col min="31" max="32" width="6" style="2" bestFit="1" customWidth="1"/>
    <col min="33" max="33" width="5" bestFit="1" customWidth="1"/>
    <col min="34" max="34" width="6.28515625" bestFit="1" customWidth="1"/>
    <col min="36" max="36" width="4.140625" style="6" bestFit="1" customWidth="1"/>
    <col min="37" max="37" width="3.85546875" style="6" bestFit="1" customWidth="1"/>
    <col min="38" max="38" width="4" style="6" bestFit="1" customWidth="1"/>
    <col min="39" max="39" width="4.28515625" style="6" bestFit="1" customWidth="1"/>
    <col min="40" max="42" width="4.42578125" style="6" bestFit="1" customWidth="1"/>
    <col min="43" max="43" width="5.85546875" style="6" bestFit="1" customWidth="1"/>
    <col min="44" max="44" width="4.28515625" style="6" bestFit="1" customWidth="1"/>
    <col min="45" max="45" width="3.7109375" style="6" bestFit="1" customWidth="1"/>
    <col min="46" max="46" width="5.85546875" style="6" bestFit="1" customWidth="1"/>
    <col min="47" max="47" width="4.42578125" style="6" bestFit="1" customWidth="1"/>
    <col min="48" max="49" width="4.140625" style="6" bestFit="1" customWidth="1"/>
  </cols>
  <sheetData>
    <row r="2" spans="2:51">
      <c r="B2" s="41" t="s">
        <v>105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</row>
    <row r="4" spans="2:51">
      <c r="B4" s="20"/>
      <c r="C4" s="8" t="s">
        <v>34</v>
      </c>
      <c r="D4" s="8" t="s">
        <v>35</v>
      </c>
      <c r="E4" s="8" t="s">
        <v>36</v>
      </c>
      <c r="F4" s="8" t="s">
        <v>37</v>
      </c>
      <c r="G4" s="8" t="s">
        <v>38</v>
      </c>
      <c r="H4" s="8" t="s">
        <v>39</v>
      </c>
      <c r="I4" s="8" t="s">
        <v>40</v>
      </c>
      <c r="J4" s="8" t="s">
        <v>41</v>
      </c>
      <c r="K4" s="8" t="s">
        <v>42</v>
      </c>
      <c r="L4" s="8" t="s">
        <v>43</v>
      </c>
      <c r="M4" s="8" t="s">
        <v>46</v>
      </c>
      <c r="N4" s="8" t="s">
        <v>44</v>
      </c>
      <c r="O4" s="8" t="s">
        <v>45</v>
      </c>
      <c r="P4" s="8" t="s">
        <v>47</v>
      </c>
      <c r="Q4" s="27"/>
      <c r="R4" s="27"/>
      <c r="S4" s="20" t="s">
        <v>86</v>
      </c>
      <c r="T4" s="8" t="s">
        <v>34</v>
      </c>
      <c r="U4" s="8" t="s">
        <v>35</v>
      </c>
      <c r="V4" s="8" t="s">
        <v>36</v>
      </c>
      <c r="W4" s="8" t="s">
        <v>37</v>
      </c>
      <c r="X4" s="8" t="s">
        <v>38</v>
      </c>
      <c r="Y4" s="8" t="s">
        <v>39</v>
      </c>
      <c r="Z4" s="8" t="s">
        <v>40</v>
      </c>
      <c r="AA4" s="8" t="s">
        <v>41</v>
      </c>
      <c r="AB4" s="8" t="s">
        <v>42</v>
      </c>
      <c r="AC4" s="8" t="s">
        <v>43</v>
      </c>
      <c r="AD4" s="8" t="s">
        <v>46</v>
      </c>
      <c r="AE4" s="8" t="s">
        <v>44</v>
      </c>
      <c r="AF4" s="8" t="s">
        <v>45</v>
      </c>
      <c r="AG4" s="8" t="s">
        <v>47</v>
      </c>
      <c r="AH4" s="2"/>
    </row>
    <row r="5" spans="2:51">
      <c r="B5" s="46" t="s">
        <v>87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25"/>
      <c r="R5" s="25"/>
    </row>
    <row r="6" spans="2:51">
      <c r="B6" s="20" t="s">
        <v>61</v>
      </c>
      <c r="C6" s="22">
        <f>T6</f>
        <v>9.4</v>
      </c>
      <c r="D6" s="22">
        <f t="shared" ref="D6:P6" si="0">U6</f>
        <v>201.3</v>
      </c>
      <c r="E6" s="22">
        <f t="shared" si="0"/>
        <v>53.2</v>
      </c>
      <c r="F6" s="22">
        <f t="shared" si="0"/>
        <v>34.1</v>
      </c>
      <c r="G6" s="22">
        <f t="shared" si="0"/>
        <v>62.3</v>
      </c>
      <c r="H6" s="22">
        <f t="shared" si="0"/>
        <v>137.1</v>
      </c>
      <c r="I6" s="22">
        <f t="shared" si="0"/>
        <v>56.3</v>
      </c>
      <c r="J6" s="22">
        <f t="shared" si="0"/>
        <v>58.5</v>
      </c>
      <c r="K6" s="22">
        <f t="shared" si="0"/>
        <v>44.3</v>
      </c>
      <c r="L6" s="22">
        <f t="shared" si="0"/>
        <v>17.8</v>
      </c>
      <c r="M6" s="22">
        <f t="shared" si="0"/>
        <v>40.799999999999997</v>
      </c>
      <c r="N6" s="22">
        <f t="shared" si="0"/>
        <v>85.9</v>
      </c>
      <c r="O6" s="22">
        <f t="shared" si="0"/>
        <v>39.299999999999997</v>
      </c>
      <c r="P6" s="22">
        <f t="shared" si="0"/>
        <v>46.4</v>
      </c>
      <c r="Q6" s="23"/>
      <c r="R6" s="23"/>
      <c r="S6" s="18" t="s">
        <v>30</v>
      </c>
      <c r="T6" s="2">
        <v>9.4</v>
      </c>
      <c r="U6" s="2">
        <v>201.3</v>
      </c>
      <c r="V6" s="2">
        <v>53.2</v>
      </c>
      <c r="W6" s="2">
        <v>34.1</v>
      </c>
      <c r="X6" s="2">
        <v>62.3</v>
      </c>
      <c r="Y6" s="2">
        <v>137.1</v>
      </c>
      <c r="Z6" s="2">
        <v>56.3</v>
      </c>
      <c r="AA6" s="2">
        <v>58.5</v>
      </c>
      <c r="AB6" s="2">
        <v>44.3</v>
      </c>
      <c r="AC6" s="2">
        <v>17.8</v>
      </c>
      <c r="AD6" s="2">
        <v>40.799999999999997</v>
      </c>
      <c r="AE6" s="2">
        <v>85.9</v>
      </c>
      <c r="AF6" s="2">
        <v>39.299999999999997</v>
      </c>
      <c r="AG6">
        <v>46.4</v>
      </c>
    </row>
    <row r="7" spans="2:51">
      <c r="B7" s="18" t="s">
        <v>48</v>
      </c>
      <c r="C7" s="31">
        <f t="shared" ref="C7:C17" si="1">T7/C$6</f>
        <v>1.5</v>
      </c>
      <c r="D7" s="31">
        <f t="shared" ref="D7:D17" si="2">U7/D$6</f>
        <v>0.89071038251366119</v>
      </c>
      <c r="E7" s="31">
        <f t="shared" ref="E7:E17" si="3">V7/E$6</f>
        <v>0.94172932330827064</v>
      </c>
      <c r="F7" s="31">
        <f t="shared" ref="F7:F17" si="4">W7/F$6</f>
        <v>1.0205278592375366</v>
      </c>
      <c r="G7" s="31">
        <f t="shared" ref="G7:G17" si="5">X7/G$6</f>
        <v>1.0016051364365972</v>
      </c>
      <c r="H7" s="31">
        <f t="shared" ref="H7:H17" si="6">Y7/H$6</f>
        <v>0.87600291757840987</v>
      </c>
      <c r="I7" s="31">
        <f t="shared" ref="I7:I17" si="7">Z7/I$6</f>
        <v>1.0373001776198933</v>
      </c>
      <c r="J7" s="31">
        <f t="shared" ref="J7:J17" si="8">AA7/J$6</f>
        <v>1.3982905982905982</v>
      </c>
      <c r="K7" s="31">
        <f t="shared" ref="K7:K17" si="9">AB7/K$6</f>
        <v>1.0090293453724606</v>
      </c>
      <c r="L7" s="31">
        <f t="shared" ref="L7:L17" si="10">AC7/L$6</f>
        <v>2.4438202247191012</v>
      </c>
      <c r="M7" s="31">
        <f t="shared" ref="M7:M17" si="11">AD7/M$6</f>
        <v>1.5465686274509804</v>
      </c>
      <c r="N7" s="31">
        <f t="shared" ref="N7:N17" si="12">AE7/N$6</f>
        <v>1.0675203725261933</v>
      </c>
      <c r="O7" s="31">
        <f t="shared" ref="O7:O17" si="13">AF7/O$6</f>
        <v>0.99745547073791363</v>
      </c>
      <c r="P7" s="31">
        <f t="shared" ref="P7:P17" si="14">AG7/P$6</f>
        <v>0.95474137931034475</v>
      </c>
      <c r="Q7" s="19"/>
      <c r="R7" s="19"/>
      <c r="S7" s="18" t="s">
        <v>48</v>
      </c>
      <c r="T7" s="2">
        <v>14.1</v>
      </c>
      <c r="U7" s="2">
        <v>179.3</v>
      </c>
      <c r="V7" s="2">
        <v>50.1</v>
      </c>
      <c r="W7" s="2">
        <v>34.799999999999997</v>
      </c>
      <c r="X7" s="2">
        <v>62.4</v>
      </c>
      <c r="Y7" s="2">
        <v>120.1</v>
      </c>
      <c r="Z7" s="2">
        <v>58.4</v>
      </c>
      <c r="AA7" s="2">
        <v>81.8</v>
      </c>
      <c r="AB7" s="2">
        <v>44.7</v>
      </c>
      <c r="AC7" s="2">
        <v>43.5</v>
      </c>
      <c r="AD7" s="2">
        <v>63.1</v>
      </c>
      <c r="AE7" s="2">
        <v>91.7</v>
      </c>
      <c r="AF7" s="2">
        <v>39.200000000000003</v>
      </c>
      <c r="AG7">
        <v>44.3</v>
      </c>
      <c r="AH7" s="2"/>
      <c r="AY7" s="6"/>
    </row>
    <row r="8" spans="2:51">
      <c r="B8" s="18" t="s">
        <v>58</v>
      </c>
      <c r="C8" s="31">
        <f t="shared" si="1"/>
        <v>1.5638297872340423</v>
      </c>
      <c r="D8" s="31">
        <f t="shared" si="2"/>
        <v>0.93541977148534527</v>
      </c>
      <c r="E8" s="31">
        <f t="shared" si="3"/>
        <v>1.0789473684210527</v>
      </c>
      <c r="F8" s="31">
        <f t="shared" si="4"/>
        <v>0.97947214076246325</v>
      </c>
      <c r="G8" s="31">
        <f t="shared" si="5"/>
        <v>1.012841091492777</v>
      </c>
      <c r="H8" s="31">
        <f t="shared" si="6"/>
        <v>0.87673231218088987</v>
      </c>
      <c r="I8" s="31">
        <f t="shared" si="7"/>
        <v>1.0177619893428065</v>
      </c>
      <c r="J8" s="31">
        <f t="shared" si="8"/>
        <v>1.0034188034188034</v>
      </c>
      <c r="K8" s="31">
        <f t="shared" si="9"/>
        <v>1.0112866817155757</v>
      </c>
      <c r="L8" s="31">
        <f t="shared" si="10"/>
        <v>1.0449438202247192</v>
      </c>
      <c r="M8" s="31">
        <f t="shared" si="11"/>
        <v>1.0196078431372551</v>
      </c>
      <c r="N8" s="31">
        <f t="shared" si="12"/>
        <v>1.0337601862630965</v>
      </c>
      <c r="O8" s="31">
        <f t="shared" si="13"/>
        <v>0.91603053435114512</v>
      </c>
      <c r="P8" s="31">
        <f t="shared" si="14"/>
        <v>0.99784482758620685</v>
      </c>
      <c r="Q8" s="19"/>
      <c r="R8" s="19"/>
      <c r="S8" s="18" t="s">
        <v>58</v>
      </c>
      <c r="T8" s="2">
        <v>14.7</v>
      </c>
      <c r="U8" s="2">
        <v>188.3</v>
      </c>
      <c r="V8" s="2">
        <v>57.4</v>
      </c>
      <c r="W8" s="2">
        <v>33.4</v>
      </c>
      <c r="X8" s="2">
        <v>63.1</v>
      </c>
      <c r="Y8" s="2">
        <v>120.2</v>
      </c>
      <c r="Z8" s="2">
        <v>57.3</v>
      </c>
      <c r="AA8" s="2">
        <v>58.7</v>
      </c>
      <c r="AB8" s="2">
        <v>44.8</v>
      </c>
      <c r="AC8" s="2">
        <v>18.600000000000001</v>
      </c>
      <c r="AD8" s="2">
        <v>41.6</v>
      </c>
      <c r="AE8" s="2">
        <v>88.8</v>
      </c>
      <c r="AF8" s="2">
        <v>36</v>
      </c>
      <c r="AG8">
        <v>46.3</v>
      </c>
      <c r="AH8" s="2"/>
      <c r="AY8" s="6"/>
    </row>
    <row r="9" spans="2:51">
      <c r="B9" s="18" t="s">
        <v>29</v>
      </c>
      <c r="C9" s="31">
        <f t="shared" si="1"/>
        <v>1.0957446808510638</v>
      </c>
      <c r="D9" s="31">
        <f t="shared" si="2"/>
        <v>0.99701937406855423</v>
      </c>
      <c r="E9" s="31">
        <f t="shared" si="3"/>
        <v>1.0488721804511276</v>
      </c>
      <c r="F9" s="31">
        <f t="shared" si="4"/>
        <v>1.0791788856304985</v>
      </c>
      <c r="G9" s="31">
        <f t="shared" si="5"/>
        <v>1.07223113964687</v>
      </c>
      <c r="H9" s="31">
        <f t="shared" si="6"/>
        <v>0.91393143690736689</v>
      </c>
      <c r="I9" s="31">
        <f t="shared" si="7"/>
        <v>1.3552397868561279</v>
      </c>
      <c r="J9" s="31">
        <f t="shared" si="8"/>
        <v>1.0957264957264956</v>
      </c>
      <c r="K9" s="31">
        <f t="shared" si="9"/>
        <v>1.2528216704288939</v>
      </c>
      <c r="L9" s="31">
        <f t="shared" si="10"/>
        <v>1.1629213483146066</v>
      </c>
      <c r="M9" s="31">
        <f t="shared" si="11"/>
        <v>0.97058823529411775</v>
      </c>
      <c r="N9" s="31">
        <f t="shared" si="12"/>
        <v>1.1350407450523865</v>
      </c>
      <c r="O9" s="31">
        <f t="shared" si="13"/>
        <v>1.0152671755725191</v>
      </c>
      <c r="P9" s="31">
        <f t="shared" si="14"/>
        <v>1.0258620689655173</v>
      </c>
      <c r="Q9" s="19"/>
      <c r="R9" s="19"/>
      <c r="S9" s="18" t="s">
        <v>29</v>
      </c>
      <c r="T9" s="2">
        <v>10.3</v>
      </c>
      <c r="U9" s="2">
        <v>200.7</v>
      </c>
      <c r="V9" s="2">
        <v>55.8</v>
      </c>
      <c r="W9" s="2">
        <v>36.799999999999997</v>
      </c>
      <c r="X9" s="2">
        <v>66.8</v>
      </c>
      <c r="Y9" s="2">
        <v>125.3</v>
      </c>
      <c r="Z9" s="2">
        <v>76.3</v>
      </c>
      <c r="AA9" s="2">
        <v>64.099999999999994</v>
      </c>
      <c r="AB9" s="2">
        <v>55.5</v>
      </c>
      <c r="AC9" s="2">
        <v>20.7</v>
      </c>
      <c r="AD9" s="2">
        <v>39.6</v>
      </c>
      <c r="AE9" s="2">
        <v>97.5</v>
      </c>
      <c r="AF9" s="2">
        <v>39.9</v>
      </c>
      <c r="AG9">
        <v>47.6</v>
      </c>
      <c r="AH9" s="2"/>
      <c r="AY9" s="6"/>
    </row>
    <row r="10" spans="2:51">
      <c r="B10" s="18" t="s">
        <v>31</v>
      </c>
      <c r="C10" s="31">
        <f t="shared" si="1"/>
        <v>0.94680851063829785</v>
      </c>
      <c r="D10" s="31">
        <f t="shared" si="2"/>
        <v>0.7824143070044709</v>
      </c>
      <c r="E10" s="31">
        <f t="shared" si="3"/>
        <v>0.93609022556390964</v>
      </c>
      <c r="F10" s="31">
        <f t="shared" si="4"/>
        <v>1.0410557184750733</v>
      </c>
      <c r="G10" s="31">
        <f t="shared" si="5"/>
        <v>0.85874799357945431</v>
      </c>
      <c r="H10" s="31">
        <f t="shared" si="6"/>
        <v>0.9555069292487236</v>
      </c>
      <c r="I10" s="31">
        <f t="shared" si="7"/>
        <v>0.98223801065719363</v>
      </c>
      <c r="J10" s="31">
        <f t="shared" si="8"/>
        <v>0.93162393162393164</v>
      </c>
      <c r="K10" s="31">
        <f t="shared" si="9"/>
        <v>1.0045146726862304</v>
      </c>
      <c r="L10" s="31">
        <f t="shared" si="10"/>
        <v>1.1235955056179774</v>
      </c>
      <c r="M10" s="31">
        <f t="shared" si="11"/>
        <v>0.85049019607843146</v>
      </c>
      <c r="N10" s="31">
        <f t="shared" si="12"/>
        <v>0.76484284051222351</v>
      </c>
      <c r="O10" s="31">
        <f t="shared" si="13"/>
        <v>1.0610687022900764</v>
      </c>
      <c r="P10" s="31">
        <f t="shared" si="14"/>
        <v>0.9568965517241379</v>
      </c>
      <c r="Q10" s="19"/>
      <c r="R10" s="19"/>
      <c r="S10" s="18" t="s">
        <v>31</v>
      </c>
      <c r="T10" s="2">
        <v>8.9</v>
      </c>
      <c r="U10" s="2">
        <v>157.5</v>
      </c>
      <c r="V10" s="2">
        <v>49.8</v>
      </c>
      <c r="W10" s="2">
        <v>35.5</v>
      </c>
      <c r="X10" s="2">
        <v>53.5</v>
      </c>
      <c r="Y10" s="2">
        <v>131</v>
      </c>
      <c r="Z10" s="2">
        <v>55.3</v>
      </c>
      <c r="AA10" s="2">
        <v>54.5</v>
      </c>
      <c r="AB10" s="2">
        <v>44.5</v>
      </c>
      <c r="AC10" s="2">
        <v>20</v>
      </c>
      <c r="AD10" s="2">
        <v>34.700000000000003</v>
      </c>
      <c r="AE10" s="2">
        <v>65.7</v>
      </c>
      <c r="AF10" s="2">
        <v>41.7</v>
      </c>
      <c r="AG10">
        <v>44.4</v>
      </c>
      <c r="AH10" s="2"/>
      <c r="AY10" s="6"/>
    </row>
    <row r="11" spans="2:51">
      <c r="B11" s="18" t="s">
        <v>32</v>
      </c>
      <c r="C11" s="31">
        <f t="shared" si="1"/>
        <v>0.85106382978723405</v>
      </c>
      <c r="D11" s="31">
        <f t="shared" si="2"/>
        <v>0.78787878787878785</v>
      </c>
      <c r="E11" s="31">
        <f t="shared" si="3"/>
        <v>1.0977443609022555</v>
      </c>
      <c r="F11" s="31">
        <f t="shared" si="4"/>
        <v>1.0674486803519061</v>
      </c>
      <c r="G11" s="31">
        <f t="shared" si="5"/>
        <v>0.8330658105939005</v>
      </c>
      <c r="H11" s="31">
        <f t="shared" si="6"/>
        <v>0.79649890590809636</v>
      </c>
      <c r="I11" s="31">
        <f t="shared" si="7"/>
        <v>0.9289520426287744</v>
      </c>
      <c r="J11" s="31">
        <f t="shared" si="8"/>
        <v>1.0273504273504275</v>
      </c>
      <c r="K11" s="31">
        <f t="shared" si="9"/>
        <v>1.1647855530474043</v>
      </c>
      <c r="L11" s="31">
        <f t="shared" si="10"/>
        <v>1.101123595505618</v>
      </c>
      <c r="M11" s="31">
        <f t="shared" si="11"/>
        <v>0.91421568627450978</v>
      </c>
      <c r="N11" s="31">
        <f t="shared" si="12"/>
        <v>0.82421420256111744</v>
      </c>
      <c r="O11" s="31">
        <f t="shared" si="13"/>
        <v>0.98727735368956748</v>
      </c>
      <c r="P11" s="31">
        <f t="shared" si="14"/>
        <v>0.97844827586206895</v>
      </c>
      <c r="Q11" s="19"/>
      <c r="R11" s="19"/>
      <c r="S11" s="18" t="s">
        <v>32</v>
      </c>
      <c r="T11" s="2">
        <v>8</v>
      </c>
      <c r="U11" s="2">
        <v>158.6</v>
      </c>
      <c r="V11" s="2">
        <v>58.4</v>
      </c>
      <c r="W11" s="2">
        <v>36.4</v>
      </c>
      <c r="X11" s="2">
        <v>51.9</v>
      </c>
      <c r="Y11" s="2">
        <v>109.2</v>
      </c>
      <c r="Z11" s="2">
        <v>52.3</v>
      </c>
      <c r="AA11" s="2">
        <v>60.1</v>
      </c>
      <c r="AB11" s="2">
        <v>51.6</v>
      </c>
      <c r="AC11" s="2">
        <v>19.600000000000001</v>
      </c>
      <c r="AD11" s="2">
        <v>37.299999999999997</v>
      </c>
      <c r="AE11" s="2">
        <v>70.8</v>
      </c>
      <c r="AF11" s="2">
        <v>38.799999999999997</v>
      </c>
      <c r="AG11">
        <v>45.4</v>
      </c>
      <c r="AH11" s="2"/>
      <c r="AY11" s="6"/>
    </row>
    <row r="12" spans="2:51">
      <c r="B12" s="18" t="s">
        <v>33</v>
      </c>
      <c r="C12" s="31">
        <f t="shared" si="1"/>
        <v>0.84042553191489366</v>
      </c>
      <c r="D12" s="31">
        <f t="shared" si="2"/>
        <v>0.76055638350720312</v>
      </c>
      <c r="E12" s="31">
        <f t="shared" si="3"/>
        <v>1.1898496240601502</v>
      </c>
      <c r="F12" s="31">
        <f t="shared" si="4"/>
        <v>1.0410557184750733</v>
      </c>
      <c r="G12" s="31">
        <f t="shared" si="5"/>
        <v>0.8234349919743178</v>
      </c>
      <c r="H12" s="31">
        <f t="shared" si="6"/>
        <v>0.70459518599562365</v>
      </c>
      <c r="I12" s="31">
        <f t="shared" si="7"/>
        <v>0.98579040852575495</v>
      </c>
      <c r="J12" s="31">
        <f t="shared" si="8"/>
        <v>0.93675213675213675</v>
      </c>
      <c r="K12" s="31">
        <f t="shared" si="9"/>
        <v>1.216704288939052</v>
      </c>
      <c r="L12" s="31">
        <f t="shared" si="10"/>
        <v>1.146067415730337</v>
      </c>
      <c r="M12" s="31">
        <f t="shared" si="11"/>
        <v>0.88725490196078449</v>
      </c>
      <c r="N12" s="31">
        <f t="shared" si="12"/>
        <v>0.86263096623981361</v>
      </c>
      <c r="O12" s="31">
        <f t="shared" si="13"/>
        <v>1.078880407124682</v>
      </c>
      <c r="P12" s="31">
        <f t="shared" si="14"/>
        <v>0.93318965517241381</v>
      </c>
      <c r="Q12" s="19"/>
      <c r="R12" s="19"/>
      <c r="S12" s="18" t="s">
        <v>33</v>
      </c>
      <c r="T12" s="2">
        <v>7.9</v>
      </c>
      <c r="U12" s="2">
        <v>153.1</v>
      </c>
      <c r="V12" s="2">
        <v>63.3</v>
      </c>
      <c r="W12" s="2">
        <v>35.5</v>
      </c>
      <c r="X12" s="2">
        <v>51.3</v>
      </c>
      <c r="Y12" s="2">
        <v>96.6</v>
      </c>
      <c r="Z12" s="2">
        <v>55.5</v>
      </c>
      <c r="AA12" s="2">
        <v>54.8</v>
      </c>
      <c r="AB12" s="2">
        <v>53.9</v>
      </c>
      <c r="AC12" s="2">
        <v>20.399999999999999</v>
      </c>
      <c r="AD12" s="2">
        <v>36.200000000000003</v>
      </c>
      <c r="AE12" s="2">
        <v>74.099999999999994</v>
      </c>
      <c r="AF12" s="2">
        <v>42.4</v>
      </c>
      <c r="AG12">
        <v>43.3</v>
      </c>
      <c r="AH12" s="2"/>
      <c r="AY12" s="6"/>
    </row>
    <row r="13" spans="2:51">
      <c r="B13" s="18" t="s">
        <v>95</v>
      </c>
      <c r="C13" s="31">
        <f t="shared" si="1"/>
        <v>1.6276595744680851</v>
      </c>
      <c r="D13" s="31">
        <f t="shared" si="2"/>
        <v>0.9493293591654246</v>
      </c>
      <c r="E13" s="31">
        <f t="shared" si="3"/>
        <v>1.2199248120300752</v>
      </c>
      <c r="F13" s="31">
        <f t="shared" si="4"/>
        <v>1.2228739002932552</v>
      </c>
      <c r="G13" s="31">
        <f t="shared" si="5"/>
        <v>1.2359550561797754</v>
      </c>
      <c r="H13" s="31">
        <f t="shared" si="6"/>
        <v>0.9584245076586434</v>
      </c>
      <c r="I13" s="31">
        <f t="shared" si="7"/>
        <v>1.1012433392539964</v>
      </c>
      <c r="J13" s="31">
        <f t="shared" si="8"/>
        <v>1.4188034188034189</v>
      </c>
      <c r="K13" s="31">
        <f t="shared" si="9"/>
        <v>1.3408577878103838</v>
      </c>
      <c r="L13" s="31">
        <f t="shared" si="10"/>
        <v>1.342696629213483</v>
      </c>
      <c r="M13" s="31">
        <f t="shared" si="11"/>
        <v>1.4852941176470589</v>
      </c>
      <c r="N13" s="31">
        <f t="shared" si="12"/>
        <v>1.0745052386495924</v>
      </c>
      <c r="O13" s="31">
        <f t="shared" si="13"/>
        <v>1.1984732824427482</v>
      </c>
      <c r="P13" s="31">
        <f t="shared" si="14"/>
        <v>1.2176724137931034</v>
      </c>
      <c r="Q13" s="19"/>
      <c r="R13" s="19"/>
      <c r="S13" s="18" t="s">
        <v>95</v>
      </c>
      <c r="T13" s="2">
        <v>15.3</v>
      </c>
      <c r="U13" s="2">
        <v>191.1</v>
      </c>
      <c r="V13" s="2">
        <v>64.900000000000006</v>
      </c>
      <c r="W13" s="2">
        <v>41.7</v>
      </c>
      <c r="X13" s="2">
        <v>77</v>
      </c>
      <c r="Y13" s="2">
        <v>131.4</v>
      </c>
      <c r="Z13" s="2">
        <v>62</v>
      </c>
      <c r="AA13" s="2">
        <v>83</v>
      </c>
      <c r="AB13" s="2">
        <v>59.4</v>
      </c>
      <c r="AC13" s="2">
        <v>23.9</v>
      </c>
      <c r="AD13" s="2">
        <v>60.6</v>
      </c>
      <c r="AE13" s="2">
        <v>92.3</v>
      </c>
      <c r="AF13" s="2">
        <v>47.1</v>
      </c>
      <c r="AG13">
        <v>56.5</v>
      </c>
      <c r="AH13" s="2"/>
      <c r="AY13" s="6"/>
    </row>
    <row r="14" spans="2:51">
      <c r="B14" s="18" t="s">
        <v>94</v>
      </c>
      <c r="C14" s="31">
        <f t="shared" si="1"/>
        <v>0.88297872340425532</v>
      </c>
      <c r="D14" s="31">
        <f t="shared" si="2"/>
        <v>0.81321410829607543</v>
      </c>
      <c r="E14" s="31">
        <f t="shared" si="3"/>
        <v>0.87593984962406013</v>
      </c>
      <c r="F14" s="31">
        <f t="shared" si="4"/>
        <v>0.88856304985337242</v>
      </c>
      <c r="G14" s="31">
        <f t="shared" si="5"/>
        <v>0.8507223113964687</v>
      </c>
      <c r="H14" s="31">
        <f t="shared" si="6"/>
        <v>0.80743982494529543</v>
      </c>
      <c r="I14" s="31">
        <f t="shared" si="7"/>
        <v>0.84547069271758446</v>
      </c>
      <c r="J14" s="31">
        <f t="shared" si="8"/>
        <v>1.0051282051282051</v>
      </c>
      <c r="K14" s="31">
        <f t="shared" si="9"/>
        <v>0.93905191873589178</v>
      </c>
      <c r="L14" s="31">
        <f t="shared" si="10"/>
        <v>0.9719101123595506</v>
      </c>
      <c r="M14" s="31">
        <f t="shared" si="11"/>
        <v>0.99264705882352944</v>
      </c>
      <c r="N14" s="31">
        <f t="shared" si="12"/>
        <v>0.97788125727590214</v>
      </c>
      <c r="O14" s="31">
        <f t="shared" si="13"/>
        <v>0.86259541984732824</v>
      </c>
      <c r="P14" s="31">
        <f t="shared" si="14"/>
        <v>0.89439655172413801</v>
      </c>
      <c r="Q14" s="28"/>
      <c r="R14" s="28"/>
      <c r="S14" s="18" t="s">
        <v>96</v>
      </c>
      <c r="T14" s="2">
        <v>8.3000000000000007</v>
      </c>
      <c r="U14" s="2">
        <v>163.69999999999999</v>
      </c>
      <c r="V14" s="2">
        <v>46.6</v>
      </c>
      <c r="W14" s="2">
        <v>30.3</v>
      </c>
      <c r="X14" s="2">
        <v>53</v>
      </c>
      <c r="Y14" s="2">
        <v>110.7</v>
      </c>
      <c r="Z14" s="2">
        <v>47.6</v>
      </c>
      <c r="AA14" s="2">
        <v>58.8</v>
      </c>
      <c r="AB14" s="2">
        <v>41.6</v>
      </c>
      <c r="AC14" s="2">
        <v>17.3</v>
      </c>
      <c r="AD14" s="2">
        <v>40.5</v>
      </c>
      <c r="AE14" s="2">
        <v>84</v>
      </c>
      <c r="AF14" s="2">
        <v>33.9</v>
      </c>
      <c r="AG14">
        <v>41.5</v>
      </c>
    </row>
    <row r="15" spans="2:51">
      <c r="B15" s="17" t="s">
        <v>91</v>
      </c>
      <c r="C15" s="31">
        <f t="shared" si="1"/>
        <v>1.4361702127659575</v>
      </c>
      <c r="D15" s="31">
        <f t="shared" si="2"/>
        <v>0.86885245901639341</v>
      </c>
      <c r="E15" s="31">
        <f t="shared" si="3"/>
        <v>1.1503759398496241</v>
      </c>
      <c r="F15" s="31">
        <f t="shared" si="4"/>
        <v>1.2316715542521994</v>
      </c>
      <c r="G15" s="31">
        <f t="shared" si="5"/>
        <v>1.0738362760834672</v>
      </c>
      <c r="H15" s="31">
        <f t="shared" si="6"/>
        <v>1.2574762946754194</v>
      </c>
      <c r="I15" s="31">
        <f t="shared" si="7"/>
        <v>0.98401420959147423</v>
      </c>
      <c r="J15" s="31">
        <f t="shared" si="8"/>
        <v>1.2102564102564102</v>
      </c>
      <c r="K15" s="31">
        <f t="shared" si="9"/>
        <v>1.2460496613995486</v>
      </c>
      <c r="L15" s="31">
        <f t="shared" si="10"/>
        <v>1.1741573033707864</v>
      </c>
      <c r="M15" s="31">
        <f t="shared" si="11"/>
        <v>1.3112745098039216</v>
      </c>
      <c r="N15" s="31">
        <f t="shared" si="12"/>
        <v>0.98486612339930135</v>
      </c>
      <c r="O15" s="31">
        <f t="shared" si="13"/>
        <v>1.1653944020356235</v>
      </c>
      <c r="P15" s="31">
        <f t="shared" si="14"/>
        <v>1.1400862068965518</v>
      </c>
      <c r="Q15" s="19"/>
      <c r="R15" s="19"/>
      <c r="S15" s="18" t="s">
        <v>91</v>
      </c>
      <c r="T15" s="2">
        <v>13.5</v>
      </c>
      <c r="U15" s="2">
        <v>174.9</v>
      </c>
      <c r="V15" s="2">
        <v>61.2</v>
      </c>
      <c r="W15" s="2">
        <v>42</v>
      </c>
      <c r="X15" s="2">
        <v>66.900000000000006</v>
      </c>
      <c r="Y15" s="2">
        <v>172.4</v>
      </c>
      <c r="Z15" s="2">
        <v>55.4</v>
      </c>
      <c r="AA15" s="2">
        <v>70.8</v>
      </c>
      <c r="AB15" s="2">
        <v>55.2</v>
      </c>
      <c r="AC15" s="2">
        <v>20.9</v>
      </c>
      <c r="AD15" s="2">
        <v>53.5</v>
      </c>
      <c r="AE15" s="2">
        <v>84.6</v>
      </c>
      <c r="AF15" s="2">
        <v>45.8</v>
      </c>
      <c r="AG15">
        <v>52.9</v>
      </c>
    </row>
    <row r="16" spans="2:51">
      <c r="B16" s="17" t="s">
        <v>57</v>
      </c>
      <c r="C16" s="31">
        <f t="shared" si="1"/>
        <v>1.4893617021276595</v>
      </c>
      <c r="D16" s="31">
        <f t="shared" si="2"/>
        <v>0.87232985593641321</v>
      </c>
      <c r="E16" s="31">
        <f t="shared" si="3"/>
        <v>1.131578947368421</v>
      </c>
      <c r="F16" s="31">
        <f t="shared" si="4"/>
        <v>1.1319648093841643</v>
      </c>
      <c r="G16" s="31">
        <f t="shared" si="5"/>
        <v>1.1123595505617978</v>
      </c>
      <c r="H16" s="31">
        <f t="shared" si="6"/>
        <v>0.91539022611232679</v>
      </c>
      <c r="I16" s="31">
        <f t="shared" si="7"/>
        <v>0.96092362344582605</v>
      </c>
      <c r="J16" s="31">
        <f t="shared" si="8"/>
        <v>1.3162393162393162</v>
      </c>
      <c r="K16" s="31">
        <f t="shared" si="9"/>
        <v>1.1760722347629797</v>
      </c>
      <c r="L16" s="31">
        <f t="shared" si="10"/>
        <v>1.151685393258427</v>
      </c>
      <c r="M16" s="31">
        <f t="shared" si="11"/>
        <v>1.3553921568627452</v>
      </c>
      <c r="N16" s="31">
        <f t="shared" si="12"/>
        <v>1.0384167636786961</v>
      </c>
      <c r="O16" s="31">
        <f t="shared" si="13"/>
        <v>1.1094147582697202</v>
      </c>
      <c r="P16" s="31">
        <f t="shared" si="14"/>
        <v>1.1508620689655173</v>
      </c>
      <c r="Q16" s="19"/>
      <c r="R16" s="19"/>
      <c r="S16" s="18" t="s">
        <v>57</v>
      </c>
      <c r="T16" s="2">
        <v>14</v>
      </c>
      <c r="U16" s="2">
        <v>175.6</v>
      </c>
      <c r="V16" s="2">
        <v>60.2</v>
      </c>
      <c r="W16" s="2">
        <v>38.6</v>
      </c>
      <c r="X16" s="2">
        <v>69.3</v>
      </c>
      <c r="Y16" s="2">
        <v>125.5</v>
      </c>
      <c r="Z16" s="2">
        <v>54.1</v>
      </c>
      <c r="AA16" s="2">
        <v>77</v>
      </c>
      <c r="AB16" s="2">
        <v>52.1</v>
      </c>
      <c r="AC16" s="2">
        <v>20.5</v>
      </c>
      <c r="AD16" s="2">
        <v>55.3</v>
      </c>
      <c r="AE16" s="2">
        <v>89.2</v>
      </c>
      <c r="AF16" s="2">
        <v>43.6</v>
      </c>
      <c r="AG16">
        <v>53.4</v>
      </c>
    </row>
    <row r="17" spans="2:49">
      <c r="B17" s="18" t="s">
        <v>89</v>
      </c>
      <c r="C17" s="31">
        <f t="shared" si="1"/>
        <v>0.88297872340425532</v>
      </c>
      <c r="D17" s="31">
        <f t="shared" si="2"/>
        <v>0.77148534525583712</v>
      </c>
      <c r="E17" s="31">
        <f t="shared" si="3"/>
        <v>0.87593984962406013</v>
      </c>
      <c r="F17" s="31">
        <f t="shared" si="4"/>
        <v>0.88269794721407624</v>
      </c>
      <c r="G17" s="31">
        <f t="shared" si="5"/>
        <v>0.81219903691813811</v>
      </c>
      <c r="H17" s="31">
        <f t="shared" si="6"/>
        <v>0.83734500364697306</v>
      </c>
      <c r="I17" s="31">
        <f t="shared" si="7"/>
        <v>0.8099467140319716</v>
      </c>
      <c r="J17" s="31">
        <f t="shared" si="8"/>
        <v>1.0222222222222221</v>
      </c>
      <c r="K17" s="31">
        <f t="shared" si="9"/>
        <v>0.90744920993228007</v>
      </c>
      <c r="L17" s="31">
        <f t="shared" si="10"/>
        <v>0.9438202247191011</v>
      </c>
      <c r="M17" s="31">
        <f t="shared" si="11"/>
        <v>1.0392156862745099</v>
      </c>
      <c r="N17" s="31">
        <f t="shared" si="12"/>
        <v>0.95343422584400461</v>
      </c>
      <c r="O17" s="31">
        <f t="shared" si="13"/>
        <v>0.87277353689567427</v>
      </c>
      <c r="P17" s="31">
        <f t="shared" si="14"/>
        <v>0.90517241379310343</v>
      </c>
      <c r="Q17" s="19"/>
      <c r="R17" s="19"/>
      <c r="S17" s="18" t="s">
        <v>97</v>
      </c>
      <c r="T17" s="2">
        <v>8.3000000000000007</v>
      </c>
      <c r="U17" s="2">
        <v>155.30000000000001</v>
      </c>
      <c r="V17" s="2">
        <v>46.6</v>
      </c>
      <c r="W17" s="2">
        <v>30.1</v>
      </c>
      <c r="X17" s="2">
        <v>50.6</v>
      </c>
      <c r="Y17" s="2">
        <v>114.8</v>
      </c>
      <c r="Z17" s="2">
        <v>45.6</v>
      </c>
      <c r="AA17" s="2">
        <v>59.8</v>
      </c>
      <c r="AB17" s="2">
        <v>40.200000000000003</v>
      </c>
      <c r="AC17" s="2">
        <v>16.8</v>
      </c>
      <c r="AD17" s="2">
        <v>42.4</v>
      </c>
      <c r="AE17" s="2">
        <v>81.900000000000006</v>
      </c>
      <c r="AF17" s="2">
        <v>34.299999999999997</v>
      </c>
      <c r="AG17">
        <v>42</v>
      </c>
    </row>
    <row r="18" spans="2:49">
      <c r="B18" s="46" t="s">
        <v>93</v>
      </c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25"/>
      <c r="R18" s="25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</row>
    <row r="19" spans="2:49">
      <c r="B19" s="17" t="s">
        <v>92</v>
      </c>
      <c r="C19" s="32">
        <f t="shared" ref="C19:P20" si="15">T19/C$6</f>
        <v>1.4680851063829787</v>
      </c>
      <c r="D19" s="32">
        <f t="shared" si="15"/>
        <v>0.86885245901639341</v>
      </c>
      <c r="E19" s="32">
        <f t="shared" si="15"/>
        <v>1.1597744360902256</v>
      </c>
      <c r="F19" s="32">
        <f t="shared" si="15"/>
        <v>1.249266862170088</v>
      </c>
      <c r="G19" s="32">
        <f t="shared" si="15"/>
        <v>1.0593900481540932</v>
      </c>
      <c r="H19" s="32">
        <f t="shared" si="15"/>
        <v>1.2582056892778994</v>
      </c>
      <c r="I19" s="32">
        <f t="shared" si="15"/>
        <v>0.95559502664298401</v>
      </c>
      <c r="J19" s="32">
        <f t="shared" si="15"/>
        <v>1.2102564102564102</v>
      </c>
      <c r="K19" s="32">
        <f t="shared" si="15"/>
        <v>1.2392776523702032</v>
      </c>
      <c r="L19" s="32">
        <f t="shared" si="15"/>
        <v>1.1853932584269664</v>
      </c>
      <c r="M19" s="32">
        <f t="shared" si="15"/>
        <v>1.3235294117647061</v>
      </c>
      <c r="N19" s="32">
        <f t="shared" si="15"/>
        <v>0.98835855646100113</v>
      </c>
      <c r="O19" s="32">
        <f t="shared" si="15"/>
        <v>1.1704834605597965</v>
      </c>
      <c r="P19" s="32">
        <f t="shared" si="15"/>
        <v>1.165948275862069</v>
      </c>
      <c r="Q19" s="29"/>
      <c r="R19" s="29"/>
      <c r="S19" s="18" t="s">
        <v>92</v>
      </c>
      <c r="T19" s="2">
        <v>13.8</v>
      </c>
      <c r="U19" s="2">
        <v>174.9</v>
      </c>
      <c r="V19" s="2">
        <v>61.7</v>
      </c>
      <c r="W19" s="2">
        <v>42.6</v>
      </c>
      <c r="X19" s="2">
        <v>66</v>
      </c>
      <c r="Y19" s="2">
        <v>172.5</v>
      </c>
      <c r="Z19" s="2">
        <v>53.8</v>
      </c>
      <c r="AA19" s="2">
        <v>70.8</v>
      </c>
      <c r="AB19" s="2">
        <v>54.9</v>
      </c>
      <c r="AC19" s="2">
        <v>21.1</v>
      </c>
      <c r="AD19" s="2">
        <v>54</v>
      </c>
      <c r="AE19" s="2">
        <v>84.9</v>
      </c>
      <c r="AF19" s="2">
        <v>46</v>
      </c>
      <c r="AG19">
        <v>54.1</v>
      </c>
      <c r="AH19" s="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</row>
    <row r="20" spans="2:49">
      <c r="B20" s="17" t="s">
        <v>88</v>
      </c>
      <c r="C20" s="33">
        <f t="shared" si="15"/>
        <v>1.0212765957446808</v>
      </c>
      <c r="D20" s="33">
        <f t="shared" si="15"/>
        <v>0.93691008445106794</v>
      </c>
      <c r="E20" s="33">
        <f t="shared" si="15"/>
        <v>1.1109022556390977</v>
      </c>
      <c r="F20" s="33">
        <f t="shared" si="15"/>
        <v>0.99413489736070371</v>
      </c>
      <c r="G20" s="33">
        <f t="shared" si="15"/>
        <v>0.9486356340288925</v>
      </c>
      <c r="H20" s="33">
        <f t="shared" si="15"/>
        <v>0.91830780452224658</v>
      </c>
      <c r="I20" s="33">
        <f t="shared" si="15"/>
        <v>0.93072824156305511</v>
      </c>
      <c r="J20" s="33">
        <f t="shared" si="15"/>
        <v>1.0666666666666667</v>
      </c>
      <c r="K20" s="33">
        <f t="shared" si="15"/>
        <v>1.0383747178329572</v>
      </c>
      <c r="L20" s="33">
        <f t="shared" si="15"/>
        <v>1.0224719101123594</v>
      </c>
      <c r="M20" s="33">
        <f t="shared" si="15"/>
        <v>1.2794117647058825</v>
      </c>
      <c r="N20" s="33">
        <f t="shared" si="15"/>
        <v>1</v>
      </c>
      <c r="O20" s="33">
        <f t="shared" si="15"/>
        <v>0.99491094147582704</v>
      </c>
      <c r="P20" s="33">
        <f t="shared" si="15"/>
        <v>1.0883620689655173</v>
      </c>
      <c r="Q20" s="29"/>
      <c r="R20" s="29"/>
      <c r="S20" s="18" t="s">
        <v>88</v>
      </c>
      <c r="T20" s="2">
        <v>9.6</v>
      </c>
      <c r="U20" s="2">
        <v>188.6</v>
      </c>
      <c r="V20" s="2">
        <v>59.1</v>
      </c>
      <c r="W20" s="2">
        <v>33.9</v>
      </c>
      <c r="X20" s="2">
        <v>59.1</v>
      </c>
      <c r="Y20" s="2">
        <v>125.9</v>
      </c>
      <c r="Z20" s="2">
        <v>52.4</v>
      </c>
      <c r="AA20" s="2">
        <v>62.4</v>
      </c>
      <c r="AB20" s="2">
        <v>46</v>
      </c>
      <c r="AC20" s="2">
        <v>18.2</v>
      </c>
      <c r="AD20" s="2">
        <v>52.2</v>
      </c>
      <c r="AE20" s="2">
        <v>85.9</v>
      </c>
      <c r="AF20" s="2">
        <v>39.1</v>
      </c>
      <c r="AG20">
        <v>50.5</v>
      </c>
      <c r="AH20" s="19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</row>
    <row r="21" spans="2:49">
      <c r="B21" s="46" t="s">
        <v>90</v>
      </c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25"/>
      <c r="R21" s="25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</row>
    <row r="22" spans="2:49">
      <c r="B22" s="18" t="s">
        <v>59</v>
      </c>
      <c r="C22" s="32">
        <f t="shared" ref="C22:P23" si="16">T22/C$6</f>
        <v>0.82978723404255317</v>
      </c>
      <c r="D22" s="32">
        <f t="shared" si="16"/>
        <v>0.80476900149031294</v>
      </c>
      <c r="E22" s="32">
        <f t="shared" si="16"/>
        <v>0.87406015037593976</v>
      </c>
      <c r="F22" s="32">
        <f t="shared" si="16"/>
        <v>0.86217008797653949</v>
      </c>
      <c r="G22" s="32">
        <f t="shared" si="16"/>
        <v>0.7255216693418941</v>
      </c>
      <c r="H22" s="32">
        <f t="shared" si="16"/>
        <v>0.76367614879649892</v>
      </c>
      <c r="I22" s="32">
        <f t="shared" si="16"/>
        <v>0.89520426287744226</v>
      </c>
      <c r="J22" s="32">
        <f t="shared" si="16"/>
        <v>1.117948717948718</v>
      </c>
      <c r="K22" s="32">
        <f t="shared" si="16"/>
        <v>1.1489841986455982</v>
      </c>
      <c r="L22" s="32">
        <f t="shared" si="16"/>
        <v>1.0168539325842696</v>
      </c>
      <c r="M22" s="32">
        <f t="shared" si="16"/>
        <v>0.99264705882352944</v>
      </c>
      <c r="N22" s="32">
        <f t="shared" si="16"/>
        <v>0.84982537834691496</v>
      </c>
      <c r="O22" s="32">
        <f t="shared" si="16"/>
        <v>0.80152671755725191</v>
      </c>
      <c r="P22" s="32">
        <f t="shared" si="16"/>
        <v>0.90086206896551724</v>
      </c>
      <c r="Q22" s="28"/>
      <c r="R22" s="28"/>
      <c r="S22" s="18" t="s">
        <v>59</v>
      </c>
      <c r="T22" s="2">
        <v>7.8</v>
      </c>
      <c r="U22" s="2">
        <v>162</v>
      </c>
      <c r="V22" s="2">
        <v>46.5</v>
      </c>
      <c r="W22" s="2">
        <v>29.4</v>
      </c>
      <c r="X22" s="2">
        <v>45.2</v>
      </c>
      <c r="Y22" s="2">
        <v>104.7</v>
      </c>
      <c r="Z22" s="2">
        <v>50.4</v>
      </c>
      <c r="AA22" s="2">
        <v>65.400000000000006</v>
      </c>
      <c r="AB22" s="2">
        <v>50.9</v>
      </c>
      <c r="AC22" s="2">
        <v>18.100000000000001</v>
      </c>
      <c r="AD22" s="2">
        <v>40.5</v>
      </c>
      <c r="AE22" s="2">
        <v>73</v>
      </c>
      <c r="AF22" s="2">
        <v>31.5</v>
      </c>
      <c r="AG22">
        <v>41.8</v>
      </c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</row>
    <row r="23" spans="2:49">
      <c r="B23" s="20" t="s">
        <v>60</v>
      </c>
      <c r="C23" s="33">
        <f t="shared" si="16"/>
        <v>0.81914893617021278</v>
      </c>
      <c r="D23" s="33">
        <f t="shared" si="16"/>
        <v>0.7858917039244907</v>
      </c>
      <c r="E23" s="33">
        <f t="shared" si="16"/>
        <v>0.88157894736842102</v>
      </c>
      <c r="F23" s="33">
        <f t="shared" si="16"/>
        <v>0.82697947214076239</v>
      </c>
      <c r="G23" s="33">
        <f t="shared" si="16"/>
        <v>0.72391653290529701</v>
      </c>
      <c r="H23" s="33">
        <f t="shared" si="16"/>
        <v>0.74106491611962066</v>
      </c>
      <c r="I23" s="33">
        <f t="shared" si="16"/>
        <v>0.85079928952042627</v>
      </c>
      <c r="J23" s="33">
        <f t="shared" si="16"/>
        <v>0.98119658119658115</v>
      </c>
      <c r="K23" s="33">
        <f t="shared" si="16"/>
        <v>1.0857787810383748</v>
      </c>
      <c r="L23" s="33">
        <f t="shared" si="16"/>
        <v>0.98876404494382031</v>
      </c>
      <c r="M23" s="33">
        <f t="shared" si="16"/>
        <v>0.94117647058823528</v>
      </c>
      <c r="N23" s="33">
        <f t="shared" si="16"/>
        <v>0.84400465657741552</v>
      </c>
      <c r="O23" s="33">
        <f t="shared" si="16"/>
        <v>0.81170483460559795</v>
      </c>
      <c r="P23" s="33">
        <f t="shared" si="16"/>
        <v>0.89224137931034486</v>
      </c>
      <c r="Q23" s="30"/>
      <c r="R23" s="30"/>
      <c r="S23" s="18" t="s">
        <v>60</v>
      </c>
      <c r="T23" s="2">
        <v>7.7</v>
      </c>
      <c r="U23" s="2">
        <v>158.19999999999999</v>
      </c>
      <c r="V23" s="2">
        <v>46.9</v>
      </c>
      <c r="W23" s="2">
        <v>28.2</v>
      </c>
      <c r="X23" s="2">
        <v>45.1</v>
      </c>
      <c r="Y23" s="2">
        <v>101.6</v>
      </c>
      <c r="Z23" s="2">
        <v>47.9</v>
      </c>
      <c r="AA23" s="2">
        <v>57.4</v>
      </c>
      <c r="AB23" s="2">
        <v>48.1</v>
      </c>
      <c r="AC23" s="2">
        <v>17.600000000000001</v>
      </c>
      <c r="AD23" s="2">
        <v>38.4</v>
      </c>
      <c r="AE23" s="2">
        <v>72.5</v>
      </c>
      <c r="AF23" s="2">
        <v>31.9</v>
      </c>
      <c r="AG23">
        <v>41.4</v>
      </c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</row>
    <row r="24" spans="2:49">
      <c r="B24" s="45" t="s">
        <v>98</v>
      </c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S24" s="18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</row>
    <row r="25" spans="2:49">
      <c r="B25" s="20" t="s">
        <v>61</v>
      </c>
      <c r="C25" s="22">
        <f>T25</f>
        <v>9.5</v>
      </c>
      <c r="D25" s="22">
        <f t="shared" ref="D25:P36" si="17">U25</f>
        <v>10.5</v>
      </c>
      <c r="E25" s="22">
        <f t="shared" si="17"/>
        <v>9.8000000000000007</v>
      </c>
      <c r="F25" s="22">
        <f t="shared" si="17"/>
        <v>9.6999999999999993</v>
      </c>
      <c r="G25" s="22">
        <f t="shared" si="17"/>
        <v>10.1</v>
      </c>
      <c r="H25" s="22">
        <f t="shared" si="17"/>
        <v>9.8000000000000007</v>
      </c>
      <c r="I25" s="22">
        <f t="shared" si="17"/>
        <v>9.5</v>
      </c>
      <c r="J25" s="22">
        <f t="shared" si="17"/>
        <v>9.6999999999999993</v>
      </c>
      <c r="K25" s="22">
        <f t="shared" si="17"/>
        <v>9.3000000000000007</v>
      </c>
      <c r="L25" s="22">
        <f t="shared" si="17"/>
        <v>9.5</v>
      </c>
      <c r="M25" s="22">
        <f t="shared" si="17"/>
        <v>9.5</v>
      </c>
      <c r="N25" s="22">
        <f t="shared" si="17"/>
        <v>9.9</v>
      </c>
      <c r="O25" s="22">
        <f t="shared" si="17"/>
        <v>9.8000000000000007</v>
      </c>
      <c r="P25" s="22">
        <f t="shared" si="17"/>
        <v>9.6</v>
      </c>
      <c r="S25" s="18" t="s">
        <v>30</v>
      </c>
      <c r="T25" s="2">
        <v>9.5</v>
      </c>
      <c r="U25" s="2">
        <v>10.5</v>
      </c>
      <c r="V25" s="2">
        <v>9.8000000000000007</v>
      </c>
      <c r="W25" s="2">
        <v>9.6999999999999993</v>
      </c>
      <c r="X25" s="2">
        <v>10.1</v>
      </c>
      <c r="Y25" s="2">
        <v>9.8000000000000007</v>
      </c>
      <c r="Z25" s="2">
        <v>9.5</v>
      </c>
      <c r="AA25" s="2">
        <v>9.6999999999999993</v>
      </c>
      <c r="AB25" s="2">
        <v>9.3000000000000007</v>
      </c>
      <c r="AC25" s="2">
        <v>9.5</v>
      </c>
      <c r="AD25" s="2">
        <v>9.5</v>
      </c>
      <c r="AE25" s="2">
        <v>9.9</v>
      </c>
      <c r="AF25" s="2">
        <v>9.8000000000000007</v>
      </c>
      <c r="AG25" s="2">
        <v>9.6</v>
      </c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</row>
    <row r="26" spans="2:49">
      <c r="B26" s="18" t="s">
        <v>48</v>
      </c>
      <c r="C26" s="24">
        <f>T26</f>
        <v>14.6</v>
      </c>
      <c r="D26" s="24">
        <f t="shared" si="17"/>
        <v>10.3</v>
      </c>
      <c r="E26" s="24">
        <f t="shared" si="17"/>
        <v>11.1</v>
      </c>
      <c r="F26" s="24">
        <f t="shared" si="17"/>
        <v>10.8</v>
      </c>
      <c r="G26" s="24">
        <f t="shared" si="17"/>
        <v>11</v>
      </c>
      <c r="H26" s="24">
        <f t="shared" si="17"/>
        <v>11.3</v>
      </c>
      <c r="I26" s="24">
        <f t="shared" si="17"/>
        <v>10.7</v>
      </c>
      <c r="J26" s="24">
        <f t="shared" si="17"/>
        <v>12.2</v>
      </c>
      <c r="K26" s="24">
        <f t="shared" si="17"/>
        <v>10.1</v>
      </c>
      <c r="L26" s="24">
        <f t="shared" si="17"/>
        <v>13</v>
      </c>
      <c r="M26" s="24">
        <f t="shared" si="17"/>
        <v>12.7</v>
      </c>
      <c r="N26" s="24">
        <f t="shared" si="17"/>
        <v>12.7</v>
      </c>
      <c r="O26" s="24">
        <f t="shared" si="17"/>
        <v>11</v>
      </c>
      <c r="P26" s="24">
        <f t="shared" si="17"/>
        <v>12</v>
      </c>
      <c r="S26" s="18" t="s">
        <v>76</v>
      </c>
      <c r="T26" s="2">
        <v>14.6</v>
      </c>
      <c r="U26" s="2">
        <v>10.3</v>
      </c>
      <c r="V26" s="2">
        <v>11.1</v>
      </c>
      <c r="W26" s="2">
        <v>10.8</v>
      </c>
      <c r="X26" s="2">
        <v>11</v>
      </c>
      <c r="Y26" s="2">
        <v>11.3</v>
      </c>
      <c r="Z26" s="2">
        <v>10.7</v>
      </c>
      <c r="AA26" s="2">
        <v>12.2</v>
      </c>
      <c r="AB26" s="2">
        <v>10.1</v>
      </c>
      <c r="AC26" s="2">
        <v>13</v>
      </c>
      <c r="AD26" s="2">
        <v>12.7</v>
      </c>
      <c r="AE26" s="2">
        <v>12.7</v>
      </c>
      <c r="AF26" s="2">
        <v>11</v>
      </c>
      <c r="AG26" s="2">
        <v>12</v>
      </c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</row>
    <row r="27" spans="2:49">
      <c r="B27" s="18" t="s">
        <v>58</v>
      </c>
      <c r="C27" s="24">
        <f t="shared" ref="C27:C35" si="18">T27</f>
        <v>9.3000000000000007</v>
      </c>
      <c r="D27" s="24">
        <f t="shared" si="17"/>
        <v>8.6</v>
      </c>
      <c r="E27" s="24">
        <f t="shared" si="17"/>
        <v>9.5</v>
      </c>
      <c r="F27" s="24">
        <f t="shared" si="17"/>
        <v>9.4</v>
      </c>
      <c r="G27" s="24">
        <f t="shared" si="17"/>
        <v>9.6</v>
      </c>
      <c r="H27" s="24">
        <f t="shared" si="17"/>
        <v>9.9</v>
      </c>
      <c r="I27" s="24">
        <f t="shared" si="17"/>
        <v>9.1999999999999993</v>
      </c>
      <c r="J27" s="24">
        <f t="shared" si="17"/>
        <v>9.6999999999999993</v>
      </c>
      <c r="K27" s="24">
        <f t="shared" si="17"/>
        <v>10.3</v>
      </c>
      <c r="L27" s="24">
        <f t="shared" si="17"/>
        <v>9.1999999999999993</v>
      </c>
      <c r="M27" s="24">
        <f t="shared" si="17"/>
        <v>9.9</v>
      </c>
      <c r="N27" s="24">
        <f t="shared" si="17"/>
        <v>9</v>
      </c>
      <c r="O27" s="24">
        <f t="shared" si="17"/>
        <v>9.6</v>
      </c>
      <c r="P27" s="24">
        <f t="shared" si="17"/>
        <v>9.5</v>
      </c>
      <c r="Q27" s="23"/>
      <c r="R27" s="23"/>
      <c r="S27" s="18" t="s">
        <v>77</v>
      </c>
      <c r="T27" s="2">
        <v>9.3000000000000007</v>
      </c>
      <c r="U27" s="2">
        <v>8.6</v>
      </c>
      <c r="V27" s="2">
        <v>9.5</v>
      </c>
      <c r="W27" s="2">
        <v>9.4</v>
      </c>
      <c r="X27" s="2">
        <v>9.6</v>
      </c>
      <c r="Y27" s="2">
        <v>9.9</v>
      </c>
      <c r="Z27" s="2">
        <v>9.1999999999999993</v>
      </c>
      <c r="AA27" s="2">
        <v>9.6999999999999993</v>
      </c>
      <c r="AB27" s="2">
        <v>10.3</v>
      </c>
      <c r="AC27" s="2">
        <v>9.1999999999999993</v>
      </c>
      <c r="AD27" s="2">
        <v>9.9</v>
      </c>
      <c r="AE27" s="2">
        <v>9</v>
      </c>
      <c r="AF27" s="2">
        <v>9.6</v>
      </c>
      <c r="AG27" s="2">
        <v>9.5</v>
      </c>
      <c r="AH27" s="2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</row>
    <row r="28" spans="2:49" ht="14.45" customHeight="1">
      <c r="B28" s="18" t="s">
        <v>29</v>
      </c>
      <c r="C28" s="24">
        <f t="shared" si="18"/>
        <v>11.9</v>
      </c>
      <c r="D28" s="24">
        <f t="shared" si="17"/>
        <v>12.3</v>
      </c>
      <c r="E28" s="24">
        <f t="shared" si="17"/>
        <v>11.6</v>
      </c>
      <c r="F28" s="24">
        <f t="shared" si="17"/>
        <v>11.8</v>
      </c>
      <c r="G28" s="24">
        <f t="shared" si="17"/>
        <v>11.5</v>
      </c>
      <c r="H28" s="24">
        <f t="shared" si="17"/>
        <v>12.6</v>
      </c>
      <c r="I28" s="24">
        <f t="shared" si="17"/>
        <v>12.6</v>
      </c>
      <c r="J28" s="24">
        <f t="shared" si="17"/>
        <v>11.7</v>
      </c>
      <c r="K28" s="24">
        <f t="shared" si="17"/>
        <v>12.1</v>
      </c>
      <c r="L28" s="24">
        <f t="shared" si="17"/>
        <v>11.3</v>
      </c>
      <c r="M28" s="24">
        <f t="shared" si="17"/>
        <v>11.4</v>
      </c>
      <c r="N28" s="24">
        <f t="shared" si="17"/>
        <v>12.7</v>
      </c>
      <c r="O28" s="24">
        <f t="shared" si="17"/>
        <v>11.8</v>
      </c>
      <c r="P28" s="24">
        <f t="shared" si="17"/>
        <v>11.4</v>
      </c>
      <c r="Q28" s="23"/>
      <c r="R28" s="23"/>
      <c r="S28" s="18" t="s">
        <v>29</v>
      </c>
      <c r="T28" s="2">
        <v>11.9</v>
      </c>
      <c r="U28" s="2">
        <v>12.3</v>
      </c>
      <c r="V28" s="2">
        <v>11.6</v>
      </c>
      <c r="W28" s="2">
        <v>11.8</v>
      </c>
      <c r="X28" s="2">
        <v>11.5</v>
      </c>
      <c r="Y28" s="2">
        <v>12.6</v>
      </c>
      <c r="Z28" s="2">
        <v>12.6</v>
      </c>
      <c r="AA28" s="2">
        <v>11.7</v>
      </c>
      <c r="AB28" s="2">
        <v>12.1</v>
      </c>
      <c r="AC28" s="2">
        <v>11.3</v>
      </c>
      <c r="AD28" s="2">
        <v>11.4</v>
      </c>
      <c r="AE28" s="2">
        <v>12.7</v>
      </c>
      <c r="AF28" s="2">
        <v>11.8</v>
      </c>
      <c r="AG28" s="2">
        <v>11.4</v>
      </c>
      <c r="AH28" s="2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</row>
    <row r="29" spans="2:49" ht="14.45" customHeight="1">
      <c r="B29" s="18" t="s">
        <v>31</v>
      </c>
      <c r="C29" s="24">
        <f t="shared" si="18"/>
        <v>9.5</v>
      </c>
      <c r="D29" s="24">
        <f t="shared" si="17"/>
        <v>9.9</v>
      </c>
      <c r="E29" s="24">
        <f t="shared" si="17"/>
        <v>9.4</v>
      </c>
      <c r="F29" s="24">
        <f t="shared" si="17"/>
        <v>9.6999999999999993</v>
      </c>
      <c r="G29" s="24">
        <f t="shared" si="17"/>
        <v>9.4</v>
      </c>
      <c r="H29" s="24">
        <f t="shared" si="17"/>
        <v>9.5</v>
      </c>
      <c r="I29" s="24">
        <f t="shared" si="17"/>
        <v>10</v>
      </c>
      <c r="J29" s="24">
        <f t="shared" si="17"/>
        <v>9.3000000000000007</v>
      </c>
      <c r="K29" s="24">
        <f t="shared" si="17"/>
        <v>9.9</v>
      </c>
      <c r="L29" s="24">
        <f t="shared" si="17"/>
        <v>9.8000000000000007</v>
      </c>
      <c r="M29" s="24">
        <f t="shared" si="17"/>
        <v>9.4</v>
      </c>
      <c r="N29" s="24">
        <f t="shared" si="17"/>
        <v>9.5</v>
      </c>
      <c r="O29" s="24">
        <f t="shared" si="17"/>
        <v>9.6999999999999993</v>
      </c>
      <c r="P29" s="24">
        <f t="shared" si="17"/>
        <v>9.3000000000000007</v>
      </c>
      <c r="Q29" s="23"/>
      <c r="R29" s="23"/>
      <c r="S29" s="18" t="s">
        <v>31</v>
      </c>
      <c r="T29" s="2">
        <v>9.5</v>
      </c>
      <c r="U29" s="2">
        <v>9.9</v>
      </c>
      <c r="V29" s="2">
        <v>9.4</v>
      </c>
      <c r="W29" s="2">
        <v>9.6999999999999993</v>
      </c>
      <c r="X29" s="2">
        <v>9.4</v>
      </c>
      <c r="Y29" s="2">
        <v>9.5</v>
      </c>
      <c r="Z29" s="2">
        <v>10</v>
      </c>
      <c r="AA29" s="2">
        <v>9.3000000000000007</v>
      </c>
      <c r="AB29" s="2">
        <v>9.9</v>
      </c>
      <c r="AC29" s="2">
        <v>9.8000000000000007</v>
      </c>
      <c r="AD29" s="2">
        <v>9.4</v>
      </c>
      <c r="AE29" s="2">
        <v>9.5</v>
      </c>
      <c r="AF29" s="2">
        <v>9.6999999999999993</v>
      </c>
      <c r="AG29" s="2">
        <v>9.3000000000000007</v>
      </c>
      <c r="AH29" s="2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</row>
    <row r="30" spans="2:49">
      <c r="B30" s="18" t="s">
        <v>32</v>
      </c>
      <c r="C30" s="24">
        <f t="shared" si="18"/>
        <v>9.4</v>
      </c>
      <c r="D30" s="24">
        <f t="shared" si="17"/>
        <v>9.4</v>
      </c>
      <c r="E30" s="24">
        <f t="shared" si="17"/>
        <v>9.6</v>
      </c>
      <c r="F30" s="24">
        <f t="shared" si="17"/>
        <v>9.4</v>
      </c>
      <c r="G30" s="24">
        <f t="shared" si="17"/>
        <v>9.5</v>
      </c>
      <c r="H30" s="24">
        <f t="shared" si="17"/>
        <v>9</v>
      </c>
      <c r="I30" s="24">
        <f t="shared" si="17"/>
        <v>10</v>
      </c>
      <c r="J30" s="24">
        <f t="shared" si="17"/>
        <v>9.1</v>
      </c>
      <c r="K30" s="24">
        <f t="shared" si="17"/>
        <v>9.6999999999999993</v>
      </c>
      <c r="L30" s="24">
        <f t="shared" si="17"/>
        <v>9.6999999999999993</v>
      </c>
      <c r="M30" s="24">
        <f t="shared" si="17"/>
        <v>9.1</v>
      </c>
      <c r="N30" s="24">
        <f t="shared" si="17"/>
        <v>9.1</v>
      </c>
      <c r="O30" s="24">
        <f t="shared" si="17"/>
        <v>9.4</v>
      </c>
      <c r="P30" s="24">
        <f t="shared" si="17"/>
        <v>9.6999999999999993</v>
      </c>
      <c r="Q30" s="27"/>
      <c r="R30" s="27"/>
      <c r="S30" s="18" t="s">
        <v>32</v>
      </c>
      <c r="T30" s="2">
        <v>9.4</v>
      </c>
      <c r="U30" s="2">
        <v>9.4</v>
      </c>
      <c r="V30" s="2">
        <v>9.6</v>
      </c>
      <c r="W30" s="2">
        <v>9.4</v>
      </c>
      <c r="X30" s="2">
        <v>9.5</v>
      </c>
      <c r="Y30" s="2">
        <v>9</v>
      </c>
      <c r="Z30" s="2">
        <v>10</v>
      </c>
      <c r="AA30" s="2">
        <v>9.1</v>
      </c>
      <c r="AB30" s="2">
        <v>9.6999999999999993</v>
      </c>
      <c r="AC30" s="2">
        <v>9.6999999999999993</v>
      </c>
      <c r="AD30" s="2">
        <v>9.1</v>
      </c>
      <c r="AE30" s="2">
        <v>9.1</v>
      </c>
      <c r="AF30" s="2">
        <v>9.4</v>
      </c>
      <c r="AG30" s="2">
        <v>9.6999999999999993</v>
      </c>
      <c r="AH30" s="2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</row>
    <row r="31" spans="2:49">
      <c r="B31" s="18" t="s">
        <v>33</v>
      </c>
      <c r="C31" s="24">
        <f t="shared" si="18"/>
        <v>9.6999999999999993</v>
      </c>
      <c r="D31" s="24">
        <f t="shared" si="17"/>
        <v>9.8000000000000007</v>
      </c>
      <c r="E31" s="24">
        <f t="shared" si="17"/>
        <v>9.8000000000000007</v>
      </c>
      <c r="F31" s="24">
        <f t="shared" si="17"/>
        <v>9.6</v>
      </c>
      <c r="G31" s="24">
        <f t="shared" si="17"/>
        <v>9.6</v>
      </c>
      <c r="H31" s="24">
        <f t="shared" si="17"/>
        <v>9.6999999999999993</v>
      </c>
      <c r="I31" s="24">
        <f t="shared" si="17"/>
        <v>10.8</v>
      </c>
      <c r="J31" s="24">
        <f t="shared" si="17"/>
        <v>9.4</v>
      </c>
      <c r="K31" s="24">
        <f t="shared" si="17"/>
        <v>10.1</v>
      </c>
      <c r="L31" s="24">
        <f t="shared" si="17"/>
        <v>9.9</v>
      </c>
      <c r="M31" s="24">
        <f t="shared" si="17"/>
        <v>9.6</v>
      </c>
      <c r="N31" s="24">
        <f t="shared" si="17"/>
        <v>10.199999999999999</v>
      </c>
      <c r="O31" s="24">
        <f t="shared" si="17"/>
        <v>9.6</v>
      </c>
      <c r="P31" s="24">
        <f t="shared" si="17"/>
        <v>9.6999999999999993</v>
      </c>
      <c r="Q31" s="27"/>
      <c r="R31" s="27"/>
      <c r="S31" s="18" t="s">
        <v>33</v>
      </c>
      <c r="T31" s="2">
        <v>9.6999999999999993</v>
      </c>
      <c r="U31" s="2">
        <v>9.8000000000000007</v>
      </c>
      <c r="V31" s="2">
        <v>9.8000000000000007</v>
      </c>
      <c r="W31" s="2">
        <v>9.6</v>
      </c>
      <c r="X31" s="2">
        <v>9.6</v>
      </c>
      <c r="Y31" s="2">
        <v>9.6999999999999993</v>
      </c>
      <c r="Z31" s="2">
        <v>10.8</v>
      </c>
      <c r="AA31" s="2">
        <v>9.4</v>
      </c>
      <c r="AB31" s="2">
        <v>10.1</v>
      </c>
      <c r="AC31" s="2">
        <v>9.9</v>
      </c>
      <c r="AD31" s="2">
        <v>9.6</v>
      </c>
      <c r="AE31" s="2">
        <v>10.199999999999999</v>
      </c>
      <c r="AF31" s="2">
        <v>9.6</v>
      </c>
      <c r="AG31" s="2">
        <v>9.6999999999999993</v>
      </c>
      <c r="AH31" s="2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</row>
    <row r="32" spans="2:49">
      <c r="B32" s="18" t="s">
        <v>95</v>
      </c>
      <c r="C32" s="24">
        <f t="shared" si="18"/>
        <v>10.199999999999999</v>
      </c>
      <c r="D32" s="24">
        <f t="shared" si="17"/>
        <v>10.5</v>
      </c>
      <c r="E32" s="24">
        <f t="shared" si="17"/>
        <v>11</v>
      </c>
      <c r="F32" s="24">
        <f t="shared" si="17"/>
        <v>10.8</v>
      </c>
      <c r="G32" s="24">
        <f t="shared" si="17"/>
        <v>11.1</v>
      </c>
      <c r="H32" s="24">
        <f t="shared" si="17"/>
        <v>10.3</v>
      </c>
      <c r="I32" s="24">
        <f t="shared" si="17"/>
        <v>10.199999999999999</v>
      </c>
      <c r="J32" s="24">
        <f t="shared" si="17"/>
        <v>11</v>
      </c>
      <c r="K32" s="24">
        <f t="shared" si="17"/>
        <v>10.6</v>
      </c>
      <c r="L32" s="24">
        <f t="shared" si="17"/>
        <v>10.7</v>
      </c>
      <c r="M32" s="24">
        <f t="shared" si="17"/>
        <v>11.3</v>
      </c>
      <c r="N32" s="24">
        <f t="shared" si="17"/>
        <v>10.199999999999999</v>
      </c>
      <c r="O32" s="24">
        <f t="shared" si="17"/>
        <v>10.9</v>
      </c>
      <c r="P32" s="24">
        <f t="shared" si="17"/>
        <v>11.3</v>
      </c>
      <c r="Q32" s="27"/>
      <c r="R32" s="27"/>
      <c r="S32" s="18" t="s">
        <v>79</v>
      </c>
      <c r="T32" s="2">
        <v>10.199999999999999</v>
      </c>
      <c r="U32" s="2">
        <v>10.5</v>
      </c>
      <c r="V32" s="2">
        <v>11</v>
      </c>
      <c r="W32" s="2">
        <v>10.8</v>
      </c>
      <c r="X32" s="2">
        <v>11.1</v>
      </c>
      <c r="Y32" s="2">
        <v>10.3</v>
      </c>
      <c r="Z32" s="2">
        <v>10.199999999999999</v>
      </c>
      <c r="AA32" s="2">
        <v>11</v>
      </c>
      <c r="AB32" s="2">
        <v>10.6</v>
      </c>
      <c r="AC32" s="2">
        <v>10.7</v>
      </c>
      <c r="AD32" s="2">
        <v>11.3</v>
      </c>
      <c r="AE32" s="2">
        <v>10.199999999999999</v>
      </c>
      <c r="AF32" s="2">
        <v>10.9</v>
      </c>
      <c r="AG32" s="2">
        <v>11.3</v>
      </c>
      <c r="AH32" s="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</row>
    <row r="33" spans="2:49">
      <c r="B33" s="18" t="s">
        <v>94</v>
      </c>
      <c r="C33" s="24">
        <f t="shared" si="18"/>
        <v>9.1999999999999993</v>
      </c>
      <c r="D33" s="24">
        <f t="shared" si="17"/>
        <v>9.8000000000000007</v>
      </c>
      <c r="E33" s="24">
        <f t="shared" si="17"/>
        <v>9.5</v>
      </c>
      <c r="F33" s="24">
        <f t="shared" si="17"/>
        <v>9.6999999999999993</v>
      </c>
      <c r="G33" s="24">
        <f t="shared" si="17"/>
        <v>9.9</v>
      </c>
      <c r="H33" s="24">
        <f t="shared" si="17"/>
        <v>9.1</v>
      </c>
      <c r="I33" s="24">
        <f t="shared" si="17"/>
        <v>9.3000000000000007</v>
      </c>
      <c r="J33" s="24">
        <f t="shared" si="17"/>
        <v>9.8000000000000007</v>
      </c>
      <c r="K33" s="24">
        <f t="shared" si="17"/>
        <v>9.5</v>
      </c>
      <c r="L33" s="24">
        <f t="shared" si="17"/>
        <v>9.8000000000000007</v>
      </c>
      <c r="M33" s="24">
        <f t="shared" si="17"/>
        <v>9.6999999999999993</v>
      </c>
      <c r="N33" s="24">
        <f t="shared" si="17"/>
        <v>9.1999999999999993</v>
      </c>
      <c r="O33" s="24">
        <f t="shared" si="17"/>
        <v>9.5</v>
      </c>
      <c r="P33" s="24">
        <f t="shared" si="17"/>
        <v>9.8000000000000007</v>
      </c>
      <c r="Q33" s="27"/>
      <c r="R33" s="27"/>
      <c r="S33" s="18" t="s">
        <v>78</v>
      </c>
      <c r="T33" s="2">
        <v>9.1999999999999993</v>
      </c>
      <c r="U33" s="2">
        <v>9.8000000000000007</v>
      </c>
      <c r="V33" s="2">
        <v>9.5</v>
      </c>
      <c r="W33" s="2">
        <v>9.6999999999999993</v>
      </c>
      <c r="X33" s="2">
        <v>9.9</v>
      </c>
      <c r="Y33" s="2">
        <v>9.1</v>
      </c>
      <c r="Z33" s="2">
        <v>9.3000000000000007</v>
      </c>
      <c r="AA33" s="2">
        <v>9.8000000000000007</v>
      </c>
      <c r="AB33" s="2">
        <v>9.5</v>
      </c>
      <c r="AC33" s="2">
        <v>9.8000000000000007</v>
      </c>
      <c r="AD33" s="2">
        <v>9.6999999999999993</v>
      </c>
      <c r="AE33" s="2">
        <v>9.1999999999999993</v>
      </c>
      <c r="AF33" s="2">
        <v>9.5</v>
      </c>
      <c r="AG33" s="2">
        <v>9.8000000000000007</v>
      </c>
      <c r="AH33" s="2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</row>
    <row r="34" spans="2:49">
      <c r="B34" s="17" t="s">
        <v>91</v>
      </c>
      <c r="C34" s="24">
        <f t="shared" si="18"/>
        <v>9.6</v>
      </c>
      <c r="D34" s="24">
        <f t="shared" si="17"/>
        <v>9.6</v>
      </c>
      <c r="E34" s="24">
        <f t="shared" si="17"/>
        <v>9.6999999999999993</v>
      </c>
      <c r="F34" s="24">
        <f t="shared" si="17"/>
        <v>9.8000000000000007</v>
      </c>
      <c r="G34" s="24">
        <f t="shared" si="17"/>
        <v>9.6999999999999993</v>
      </c>
      <c r="H34" s="24">
        <f t="shared" si="17"/>
        <v>9.4</v>
      </c>
      <c r="I34" s="24">
        <f t="shared" si="17"/>
        <v>10.199999999999999</v>
      </c>
      <c r="J34" s="24">
        <f t="shared" si="17"/>
        <v>9.6</v>
      </c>
      <c r="K34" s="24">
        <f t="shared" si="17"/>
        <v>9.8000000000000007</v>
      </c>
      <c r="L34" s="24">
        <f t="shared" si="17"/>
        <v>9.6999999999999993</v>
      </c>
      <c r="M34" s="24">
        <f t="shared" si="17"/>
        <v>9.5</v>
      </c>
      <c r="N34" s="24">
        <f t="shared" si="17"/>
        <v>9.9</v>
      </c>
      <c r="O34" s="24">
        <f t="shared" si="17"/>
        <v>9.6999999999999993</v>
      </c>
      <c r="P34" s="24">
        <f t="shared" si="17"/>
        <v>9.6999999999999993</v>
      </c>
      <c r="Q34" s="27"/>
      <c r="R34" s="27"/>
      <c r="S34" s="18" t="s">
        <v>83</v>
      </c>
      <c r="T34" s="2">
        <v>9.6</v>
      </c>
      <c r="U34" s="2">
        <v>9.6</v>
      </c>
      <c r="V34" s="2">
        <v>9.6999999999999993</v>
      </c>
      <c r="W34" s="2">
        <v>9.8000000000000007</v>
      </c>
      <c r="X34" s="2">
        <v>9.6999999999999993</v>
      </c>
      <c r="Y34" s="2">
        <v>9.4</v>
      </c>
      <c r="Z34" s="2">
        <v>10.199999999999999</v>
      </c>
      <c r="AA34" s="2">
        <v>9.6</v>
      </c>
      <c r="AB34" s="2">
        <v>9.8000000000000007</v>
      </c>
      <c r="AC34" s="2">
        <v>9.6999999999999993</v>
      </c>
      <c r="AD34" s="2">
        <v>9.5</v>
      </c>
      <c r="AE34" s="2">
        <v>9.9</v>
      </c>
      <c r="AF34" s="2">
        <v>9.6999999999999993</v>
      </c>
      <c r="AG34" s="2">
        <v>9.6999999999999993</v>
      </c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</row>
    <row r="35" spans="2:49">
      <c r="B35" s="17" t="s">
        <v>57</v>
      </c>
      <c r="C35" s="24">
        <f t="shared" si="18"/>
        <v>10.9</v>
      </c>
      <c r="D35" s="24">
        <f t="shared" si="17"/>
        <v>10.7</v>
      </c>
      <c r="E35" s="24">
        <f t="shared" si="17"/>
        <v>11.8</v>
      </c>
      <c r="F35" s="24">
        <f t="shared" si="17"/>
        <v>11.8</v>
      </c>
      <c r="G35" s="24">
        <f t="shared" si="17"/>
        <v>11.7</v>
      </c>
      <c r="H35" s="24">
        <f t="shared" si="17"/>
        <v>11.9</v>
      </c>
      <c r="I35" s="24">
        <f t="shared" si="17"/>
        <v>11</v>
      </c>
      <c r="J35" s="24">
        <f t="shared" si="17"/>
        <v>11.3</v>
      </c>
      <c r="K35" s="24">
        <f t="shared" si="17"/>
        <v>11.7</v>
      </c>
      <c r="L35" s="24">
        <f t="shared" si="17"/>
        <v>10.6</v>
      </c>
      <c r="M35" s="24">
        <f t="shared" si="17"/>
        <v>11.9</v>
      </c>
      <c r="N35" s="24">
        <f t="shared" si="17"/>
        <v>11</v>
      </c>
      <c r="O35" s="24">
        <f t="shared" si="17"/>
        <v>11.6</v>
      </c>
      <c r="P35" s="24">
        <f t="shared" si="17"/>
        <v>11.8</v>
      </c>
      <c r="Q35" s="27"/>
      <c r="R35" s="27"/>
      <c r="S35" s="18" t="s">
        <v>81</v>
      </c>
      <c r="T35" s="2">
        <v>10.9</v>
      </c>
      <c r="U35" s="2">
        <v>10.7</v>
      </c>
      <c r="V35" s="2">
        <v>11.8</v>
      </c>
      <c r="W35" s="2">
        <v>11.8</v>
      </c>
      <c r="X35" s="2">
        <v>11.7</v>
      </c>
      <c r="Y35" s="2">
        <v>11.9</v>
      </c>
      <c r="Z35" s="2">
        <v>11</v>
      </c>
      <c r="AA35" s="2">
        <v>11.3</v>
      </c>
      <c r="AB35" s="2">
        <v>11.7</v>
      </c>
      <c r="AC35" s="2">
        <v>10.6</v>
      </c>
      <c r="AD35" s="2">
        <v>11.9</v>
      </c>
      <c r="AE35" s="2">
        <v>11</v>
      </c>
      <c r="AF35" s="2">
        <v>11.6</v>
      </c>
      <c r="AG35" s="2">
        <v>11.8</v>
      </c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</row>
    <row r="36" spans="2:49">
      <c r="B36" s="18" t="s">
        <v>89</v>
      </c>
      <c r="C36" s="24">
        <f>T36</f>
        <v>9.5</v>
      </c>
      <c r="D36" s="24">
        <f t="shared" si="17"/>
        <v>9.6</v>
      </c>
      <c r="E36" s="24">
        <f t="shared" si="17"/>
        <v>9.8000000000000007</v>
      </c>
      <c r="F36" s="24">
        <f t="shared" si="17"/>
        <v>9.9</v>
      </c>
      <c r="G36" s="24">
        <f t="shared" si="17"/>
        <v>9.9</v>
      </c>
      <c r="H36" s="24">
        <f t="shared" si="17"/>
        <v>9.6999999999999993</v>
      </c>
      <c r="I36" s="24">
        <f t="shared" si="17"/>
        <v>9.3000000000000007</v>
      </c>
      <c r="J36" s="24">
        <f t="shared" si="17"/>
        <v>9.8000000000000007</v>
      </c>
      <c r="K36" s="24">
        <f t="shared" si="17"/>
        <v>9.8000000000000007</v>
      </c>
      <c r="L36" s="24">
        <f t="shared" si="17"/>
        <v>9.5</v>
      </c>
      <c r="M36" s="24">
        <f t="shared" si="17"/>
        <v>9.6999999999999993</v>
      </c>
      <c r="N36" s="24">
        <f t="shared" si="17"/>
        <v>9.3000000000000007</v>
      </c>
      <c r="O36" s="24">
        <f t="shared" si="17"/>
        <v>10</v>
      </c>
      <c r="P36" s="24">
        <f t="shared" si="17"/>
        <v>9.8000000000000007</v>
      </c>
      <c r="Q36" s="27"/>
      <c r="R36" s="27"/>
      <c r="S36" s="18" t="s">
        <v>80</v>
      </c>
      <c r="T36" s="2">
        <v>9.5</v>
      </c>
      <c r="U36" s="2">
        <v>9.6</v>
      </c>
      <c r="V36" s="2">
        <v>9.8000000000000007</v>
      </c>
      <c r="W36" s="2">
        <v>9.9</v>
      </c>
      <c r="X36" s="2">
        <v>9.9</v>
      </c>
      <c r="Y36" s="2">
        <v>9.6999999999999993</v>
      </c>
      <c r="Z36" s="2">
        <v>9.3000000000000007</v>
      </c>
      <c r="AA36" s="2">
        <v>9.8000000000000007</v>
      </c>
      <c r="AB36" s="2">
        <v>9.8000000000000007</v>
      </c>
      <c r="AC36" s="2">
        <v>9.5</v>
      </c>
      <c r="AD36" s="2">
        <v>9.6999999999999993</v>
      </c>
      <c r="AE36" s="2">
        <v>9.3000000000000007</v>
      </c>
      <c r="AF36" s="2">
        <v>10</v>
      </c>
      <c r="AG36" s="2">
        <v>9.8000000000000007</v>
      </c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</row>
    <row r="37" spans="2:49">
      <c r="B37" s="46" t="s">
        <v>99</v>
      </c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27"/>
      <c r="R37" s="27"/>
      <c r="S37" s="18"/>
      <c r="AG37" s="2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</row>
    <row r="38" spans="2:49">
      <c r="B38" s="17" t="s">
        <v>92</v>
      </c>
      <c r="C38" s="34">
        <f>T38</f>
        <v>9.5</v>
      </c>
      <c r="D38" s="34">
        <f t="shared" ref="D38:P39" si="19">U38</f>
        <v>9.6</v>
      </c>
      <c r="E38" s="34">
        <f t="shared" si="19"/>
        <v>9.6999999999999993</v>
      </c>
      <c r="F38" s="34">
        <f t="shared" si="19"/>
        <v>9.8000000000000007</v>
      </c>
      <c r="G38" s="34">
        <f t="shared" si="19"/>
        <v>9.5</v>
      </c>
      <c r="H38" s="34">
        <f t="shared" si="19"/>
        <v>9.4</v>
      </c>
      <c r="I38" s="34">
        <f t="shared" si="19"/>
        <v>9.8000000000000007</v>
      </c>
      <c r="J38" s="34">
        <f t="shared" si="19"/>
        <v>9.6</v>
      </c>
      <c r="K38" s="34">
        <f t="shared" si="19"/>
        <v>9.6</v>
      </c>
      <c r="L38" s="34">
        <f t="shared" si="19"/>
        <v>9.6999999999999993</v>
      </c>
      <c r="M38" s="34">
        <f t="shared" si="19"/>
        <v>9.4</v>
      </c>
      <c r="N38" s="34">
        <f t="shared" si="19"/>
        <v>10</v>
      </c>
      <c r="O38" s="34">
        <f t="shared" si="19"/>
        <v>9.5</v>
      </c>
      <c r="P38" s="34">
        <f t="shared" si="19"/>
        <v>9.5</v>
      </c>
      <c r="Q38" s="27"/>
      <c r="R38" s="27"/>
      <c r="S38" s="18" t="s">
        <v>84</v>
      </c>
      <c r="T38" s="2">
        <v>9.5</v>
      </c>
      <c r="U38" s="2">
        <v>9.6</v>
      </c>
      <c r="V38" s="2">
        <v>9.6999999999999993</v>
      </c>
      <c r="W38" s="2">
        <v>9.8000000000000007</v>
      </c>
      <c r="X38" s="2">
        <v>9.5</v>
      </c>
      <c r="Y38" s="2">
        <v>9.4</v>
      </c>
      <c r="Z38" s="2">
        <v>9.8000000000000007</v>
      </c>
      <c r="AA38" s="2">
        <v>9.6</v>
      </c>
      <c r="AB38" s="2">
        <v>9.6</v>
      </c>
      <c r="AC38" s="2">
        <v>9.6999999999999993</v>
      </c>
      <c r="AD38" s="2">
        <v>9.4</v>
      </c>
      <c r="AE38" s="2">
        <v>10</v>
      </c>
      <c r="AF38" s="2">
        <v>9.5</v>
      </c>
      <c r="AG38" s="2">
        <v>9.5</v>
      </c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</row>
    <row r="39" spans="2:49">
      <c r="B39" s="17" t="s">
        <v>88</v>
      </c>
      <c r="C39" s="36">
        <f>T39</f>
        <v>9.6999999999999993</v>
      </c>
      <c r="D39" s="36">
        <f t="shared" si="19"/>
        <v>10.3</v>
      </c>
      <c r="E39" s="36">
        <f t="shared" si="19"/>
        <v>9.4</v>
      </c>
      <c r="F39" s="36">
        <f t="shared" si="19"/>
        <v>9.6</v>
      </c>
      <c r="G39" s="36">
        <f t="shared" si="19"/>
        <v>9.6</v>
      </c>
      <c r="H39" s="36">
        <f t="shared" si="19"/>
        <v>10.3</v>
      </c>
      <c r="I39" s="36">
        <f t="shared" si="19"/>
        <v>9.8000000000000007</v>
      </c>
      <c r="J39" s="36">
        <f t="shared" si="19"/>
        <v>9.8000000000000007</v>
      </c>
      <c r="K39" s="36">
        <f t="shared" si="19"/>
        <v>9.3000000000000007</v>
      </c>
      <c r="L39" s="36">
        <f t="shared" si="19"/>
        <v>9.5</v>
      </c>
      <c r="M39" s="36">
        <f t="shared" si="19"/>
        <v>9.4</v>
      </c>
      <c r="N39" s="36">
        <f t="shared" si="19"/>
        <v>9.5</v>
      </c>
      <c r="O39" s="36">
        <f t="shared" si="19"/>
        <v>9.9</v>
      </c>
      <c r="P39" s="36">
        <f t="shared" si="19"/>
        <v>9.1999999999999993</v>
      </c>
      <c r="Q39" s="27"/>
      <c r="R39" s="27"/>
      <c r="S39" s="18" t="s">
        <v>82</v>
      </c>
      <c r="T39" s="2">
        <v>9.6999999999999993</v>
      </c>
      <c r="U39" s="2">
        <v>10.3</v>
      </c>
      <c r="V39" s="2">
        <v>9.4</v>
      </c>
      <c r="W39" s="2">
        <v>9.6</v>
      </c>
      <c r="X39" s="2">
        <v>9.6</v>
      </c>
      <c r="Y39" s="2">
        <v>10.3</v>
      </c>
      <c r="Z39" s="2">
        <v>9.8000000000000007</v>
      </c>
      <c r="AA39" s="2">
        <v>9.8000000000000007</v>
      </c>
      <c r="AB39" s="2">
        <v>9.3000000000000007</v>
      </c>
      <c r="AC39" s="2">
        <v>9.5</v>
      </c>
      <c r="AD39" s="2">
        <v>9.4</v>
      </c>
      <c r="AE39" s="2">
        <v>9.5</v>
      </c>
      <c r="AF39" s="2">
        <v>9.9</v>
      </c>
      <c r="AG39" s="2">
        <v>9.1999999999999993</v>
      </c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</row>
    <row r="40" spans="2:49">
      <c r="B40" s="46" t="s">
        <v>100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27"/>
      <c r="R40" s="27"/>
      <c r="S40" s="18"/>
      <c r="AG40" s="2"/>
      <c r="AH40" s="19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</row>
    <row r="41" spans="2:49">
      <c r="B41" s="18" t="s">
        <v>59</v>
      </c>
      <c r="C41" s="34">
        <f>T41</f>
        <v>8.6</v>
      </c>
      <c r="D41" s="34">
        <f t="shared" ref="D41:P42" si="20">U41</f>
        <v>9.1</v>
      </c>
      <c r="E41" s="34">
        <f t="shared" si="20"/>
        <v>9</v>
      </c>
      <c r="F41" s="34">
        <f t="shared" si="20"/>
        <v>8.8000000000000007</v>
      </c>
      <c r="G41" s="34">
        <f t="shared" si="20"/>
        <v>8.6999999999999993</v>
      </c>
      <c r="H41" s="34">
        <f t="shared" si="20"/>
        <v>8.5</v>
      </c>
      <c r="I41" s="34">
        <f t="shared" si="20"/>
        <v>8.8000000000000007</v>
      </c>
      <c r="J41" s="34">
        <f t="shared" si="20"/>
        <v>8.8000000000000007</v>
      </c>
      <c r="K41" s="34">
        <f t="shared" si="20"/>
        <v>9.1</v>
      </c>
      <c r="L41" s="34">
        <f t="shared" si="20"/>
        <v>8.9</v>
      </c>
      <c r="M41" s="34">
        <f t="shared" si="20"/>
        <v>8.6999999999999993</v>
      </c>
      <c r="N41" s="34">
        <f t="shared" si="20"/>
        <v>8.8000000000000007</v>
      </c>
      <c r="O41" s="34">
        <f t="shared" si="20"/>
        <v>8.8000000000000007</v>
      </c>
      <c r="P41" s="34">
        <f t="shared" si="20"/>
        <v>9</v>
      </c>
      <c r="Q41" s="27"/>
      <c r="R41" s="27"/>
      <c r="S41" s="18" t="s">
        <v>85</v>
      </c>
      <c r="T41" s="2">
        <v>8.6</v>
      </c>
      <c r="U41" s="2">
        <v>9.1</v>
      </c>
      <c r="V41" s="2">
        <v>9</v>
      </c>
      <c r="W41" s="2">
        <v>8.8000000000000007</v>
      </c>
      <c r="X41" s="2">
        <v>8.6999999999999993</v>
      </c>
      <c r="Y41" s="2">
        <v>8.5</v>
      </c>
      <c r="Z41" s="2">
        <v>8.8000000000000007</v>
      </c>
      <c r="AA41" s="2">
        <v>8.8000000000000007</v>
      </c>
      <c r="AB41" s="2">
        <v>9.1</v>
      </c>
      <c r="AC41" s="2">
        <v>8.9</v>
      </c>
      <c r="AD41" s="2">
        <v>8.6999999999999993</v>
      </c>
      <c r="AE41" s="2">
        <v>8.8000000000000007</v>
      </c>
      <c r="AF41" s="2">
        <v>8.8000000000000007</v>
      </c>
      <c r="AG41" s="2">
        <v>9</v>
      </c>
      <c r="AH41" s="19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</row>
    <row r="42" spans="2:49" ht="15.75" thickBot="1">
      <c r="B42" s="21" t="s">
        <v>60</v>
      </c>
      <c r="C42" s="35">
        <f>T42</f>
        <v>8.6</v>
      </c>
      <c r="D42" s="35">
        <f t="shared" si="20"/>
        <v>9.1</v>
      </c>
      <c r="E42" s="35">
        <f t="shared" si="20"/>
        <v>9.1999999999999993</v>
      </c>
      <c r="F42" s="35">
        <f t="shared" si="20"/>
        <v>8.8000000000000007</v>
      </c>
      <c r="G42" s="35">
        <f t="shared" si="20"/>
        <v>8.6999999999999993</v>
      </c>
      <c r="H42" s="35">
        <f t="shared" si="20"/>
        <v>8.5</v>
      </c>
      <c r="I42" s="35">
        <f t="shared" si="20"/>
        <v>8.9</v>
      </c>
      <c r="J42" s="35">
        <f t="shared" si="20"/>
        <v>8.6999999999999993</v>
      </c>
      <c r="K42" s="35">
        <f t="shared" si="20"/>
        <v>9.1999999999999993</v>
      </c>
      <c r="L42" s="35">
        <f t="shared" si="20"/>
        <v>8.8000000000000007</v>
      </c>
      <c r="M42" s="35">
        <f t="shared" si="20"/>
        <v>8.8000000000000007</v>
      </c>
      <c r="N42" s="35">
        <f t="shared" si="20"/>
        <v>8.6</v>
      </c>
      <c r="O42" s="35">
        <f t="shared" si="20"/>
        <v>8.9</v>
      </c>
      <c r="P42" s="35">
        <f t="shared" si="20"/>
        <v>9</v>
      </c>
      <c r="Q42" s="27"/>
      <c r="R42" s="27"/>
      <c r="S42" s="18" t="s">
        <v>86</v>
      </c>
      <c r="T42" s="2">
        <v>8.6</v>
      </c>
      <c r="U42" s="2">
        <v>9.1</v>
      </c>
      <c r="V42" s="2">
        <v>9.1999999999999993</v>
      </c>
      <c r="W42" s="2">
        <v>8.8000000000000007</v>
      </c>
      <c r="X42" s="2">
        <v>8.6999999999999993</v>
      </c>
      <c r="Y42" s="2">
        <v>8.5</v>
      </c>
      <c r="Z42" s="2">
        <v>8.9</v>
      </c>
      <c r="AA42" s="2">
        <v>8.6999999999999993</v>
      </c>
      <c r="AB42" s="2">
        <v>9.1999999999999993</v>
      </c>
      <c r="AC42" s="2">
        <v>8.8000000000000007</v>
      </c>
      <c r="AD42" s="2">
        <v>8.8000000000000007</v>
      </c>
      <c r="AE42" s="2">
        <v>8.6</v>
      </c>
      <c r="AF42" s="2">
        <v>8.9</v>
      </c>
      <c r="AG42" s="2">
        <v>9</v>
      </c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</row>
    <row r="43" spans="2:49" ht="15" customHeight="1">
      <c r="B43" s="43" t="s">
        <v>101</v>
      </c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27"/>
      <c r="R43" s="27"/>
      <c r="S43" s="18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</row>
    <row r="44" spans="2:49" ht="14.45" customHeight="1"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27"/>
      <c r="R44" s="27"/>
      <c r="S44" s="18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</row>
    <row r="45" spans="2:49"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27"/>
      <c r="R45" s="27"/>
      <c r="S45" s="18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</row>
    <row r="46" spans="2:49"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27"/>
      <c r="R46" s="27"/>
      <c r="S46" s="18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</row>
    <row r="47" spans="2:49"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27"/>
      <c r="R47" s="27"/>
      <c r="S47" s="18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</row>
    <row r="48" spans="2:49"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27"/>
      <c r="R48" s="27"/>
      <c r="S48" s="1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</row>
    <row r="49" spans="2:49"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27"/>
      <c r="R49" s="27"/>
      <c r="S49" s="18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</row>
    <row r="50" spans="2:49">
      <c r="B50" s="26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18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</row>
    <row r="51" spans="2:49">
      <c r="B51" s="26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18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</row>
    <row r="52" spans="2:49">
      <c r="B52" s="26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18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</row>
    <row r="53" spans="2:49">
      <c r="B53" s="26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</row>
    <row r="54" spans="2:49">
      <c r="B54" s="26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18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</row>
    <row r="55" spans="2:49">
      <c r="B55" s="26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18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</row>
    <row r="56" spans="2:49">
      <c r="B56" s="26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</row>
    <row r="57" spans="2:49">
      <c r="B57" s="17"/>
      <c r="S57" s="18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</row>
    <row r="58" spans="2:49">
      <c r="B58" s="17"/>
      <c r="S58" s="1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</row>
    <row r="59" spans="2:49">
      <c r="B59" s="17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</row>
    <row r="60" spans="2:49">
      <c r="B60" s="17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</row>
    <row r="61" spans="2:49">
      <c r="B61" s="17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</row>
    <row r="62" spans="2:49">
      <c r="B62" s="17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</row>
    <row r="63" spans="2:49">
      <c r="B63" s="17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</row>
    <row r="64" spans="2:49"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</row>
    <row r="65" spans="2:49"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</row>
    <row r="66" spans="2:49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</row>
    <row r="67" spans="2:49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</row>
    <row r="70" spans="2:49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</row>
    <row r="71" spans="2:49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</row>
    <row r="73" spans="2:49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</row>
    <row r="74" spans="2:49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</row>
    <row r="76" spans="2:49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</row>
    <row r="77" spans="2:49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</row>
  </sheetData>
  <mergeCells count="8">
    <mergeCell ref="B40:P40"/>
    <mergeCell ref="B43:P48"/>
    <mergeCell ref="B2:P2"/>
    <mergeCell ref="B5:P5"/>
    <mergeCell ref="B18:P18"/>
    <mergeCell ref="B21:P21"/>
    <mergeCell ref="B24:P24"/>
    <mergeCell ref="B37:P3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Y77"/>
  <sheetViews>
    <sheetView zoomScale="85" zoomScaleNormal="85" workbookViewId="0">
      <selection sqref="A1:XFD1048576"/>
    </sheetView>
  </sheetViews>
  <sheetFormatPr defaultRowHeight="15"/>
  <cols>
    <col min="1" max="1" width="8.7109375" customWidth="1"/>
    <col min="2" max="2" width="11.28515625" style="18" bestFit="1" customWidth="1"/>
    <col min="3" max="3" width="5.7109375" style="2" bestFit="1" customWidth="1"/>
    <col min="4" max="4" width="5.85546875" style="2" bestFit="1" customWidth="1"/>
    <col min="5" max="6" width="5.7109375" style="2" bestFit="1" customWidth="1"/>
    <col min="7" max="9" width="5.85546875" style="2" bestFit="1" customWidth="1"/>
    <col min="10" max="10" width="6.5703125" style="2" bestFit="1" customWidth="1"/>
    <col min="11" max="12" width="5.7109375" style="2" bestFit="1" customWidth="1"/>
    <col min="13" max="13" width="6.5703125" style="2" bestFit="1" customWidth="1"/>
    <col min="14" max="14" width="5.85546875" style="2" bestFit="1" customWidth="1"/>
    <col min="15" max="16" width="5.7109375" style="2" bestFit="1" customWidth="1"/>
    <col min="17" max="18" width="7" style="2" customWidth="1"/>
    <col min="19" max="19" width="10.5703125" style="2" bestFit="1" customWidth="1"/>
    <col min="20" max="20" width="5.7109375" style="2" bestFit="1" customWidth="1"/>
    <col min="21" max="24" width="6.140625" style="2" bestFit="1" customWidth="1"/>
    <col min="25" max="25" width="7.140625" style="2" bestFit="1" customWidth="1"/>
    <col min="26" max="26" width="6.140625" style="2" bestFit="1" customWidth="1"/>
    <col min="27" max="27" width="6.42578125" style="2" bestFit="1" customWidth="1"/>
    <col min="28" max="28" width="6.140625" style="2" bestFit="1" customWidth="1"/>
    <col min="29" max="29" width="5.7109375" style="2" bestFit="1" customWidth="1"/>
    <col min="30" max="30" width="6.42578125" style="2" bestFit="1" customWidth="1"/>
    <col min="31" max="32" width="6.140625" style="2" bestFit="1" customWidth="1"/>
    <col min="33" max="33" width="5.7109375" bestFit="1" customWidth="1"/>
    <col min="34" max="34" width="6.28515625" bestFit="1" customWidth="1"/>
    <col min="36" max="36" width="4.140625" style="6" bestFit="1" customWidth="1"/>
    <col min="37" max="37" width="3.85546875" style="6" bestFit="1" customWidth="1"/>
    <col min="38" max="38" width="4" style="6" bestFit="1" customWidth="1"/>
    <col min="39" max="39" width="4.28515625" style="6" bestFit="1" customWidth="1"/>
    <col min="40" max="42" width="4.42578125" style="6" bestFit="1" customWidth="1"/>
    <col min="43" max="43" width="5.85546875" style="6" bestFit="1" customWidth="1"/>
    <col min="44" max="44" width="4.28515625" style="6" bestFit="1" customWidth="1"/>
    <col min="45" max="45" width="3.7109375" style="6" bestFit="1" customWidth="1"/>
    <col min="46" max="46" width="5.85546875" style="6" bestFit="1" customWidth="1"/>
    <col min="47" max="47" width="4.42578125" style="6" bestFit="1" customWidth="1"/>
    <col min="48" max="49" width="4.140625" style="6" bestFit="1" customWidth="1"/>
  </cols>
  <sheetData>
    <row r="2" spans="2:51">
      <c r="B2" s="41" t="s">
        <v>106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</row>
    <row r="4" spans="2:51">
      <c r="B4" s="20"/>
      <c r="C4" s="8" t="s">
        <v>34</v>
      </c>
      <c r="D4" s="8" t="s">
        <v>35</v>
      </c>
      <c r="E4" s="8" t="s">
        <v>36</v>
      </c>
      <c r="F4" s="8" t="s">
        <v>37</v>
      </c>
      <c r="G4" s="8" t="s">
        <v>38</v>
      </c>
      <c r="H4" s="8" t="s">
        <v>39</v>
      </c>
      <c r="I4" s="8" t="s">
        <v>40</v>
      </c>
      <c r="J4" s="8" t="s">
        <v>41</v>
      </c>
      <c r="K4" s="8" t="s">
        <v>42</v>
      </c>
      <c r="L4" s="8" t="s">
        <v>43</v>
      </c>
      <c r="M4" s="8" t="s">
        <v>46</v>
      </c>
      <c r="N4" s="8" t="s">
        <v>44</v>
      </c>
      <c r="O4" s="8" t="s">
        <v>45</v>
      </c>
      <c r="P4" s="8" t="s">
        <v>47</v>
      </c>
      <c r="Q4" s="27"/>
      <c r="R4" s="27"/>
      <c r="S4" s="20" t="s">
        <v>86</v>
      </c>
      <c r="T4" s="8" t="s">
        <v>34</v>
      </c>
      <c r="U4" s="8" t="s">
        <v>35</v>
      </c>
      <c r="V4" s="8" t="s">
        <v>36</v>
      </c>
      <c r="W4" s="8" t="s">
        <v>37</v>
      </c>
      <c r="X4" s="8" t="s">
        <v>38</v>
      </c>
      <c r="Y4" s="8" t="s">
        <v>39</v>
      </c>
      <c r="Z4" s="8" t="s">
        <v>40</v>
      </c>
      <c r="AA4" s="8" t="s">
        <v>41</v>
      </c>
      <c r="AB4" s="8" t="s">
        <v>42</v>
      </c>
      <c r="AC4" s="8" t="s">
        <v>43</v>
      </c>
      <c r="AD4" s="8" t="s">
        <v>46</v>
      </c>
      <c r="AE4" s="8" t="s">
        <v>44</v>
      </c>
      <c r="AF4" s="8" t="s">
        <v>45</v>
      </c>
      <c r="AG4" s="8" t="s">
        <v>47</v>
      </c>
      <c r="AH4" s="2"/>
    </row>
    <row r="5" spans="2:51">
      <c r="B5" s="46" t="s">
        <v>87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25"/>
      <c r="R5" s="25"/>
    </row>
    <row r="6" spans="2:51">
      <c r="B6" s="20" t="s">
        <v>61</v>
      </c>
      <c r="C6" s="40">
        <f>T6</f>
        <v>0.29499999999999998</v>
      </c>
      <c r="D6" s="40">
        <f t="shared" ref="D6:P6" si="0">U6</f>
        <v>0.23899999999999999</v>
      </c>
      <c r="E6" s="40">
        <f t="shared" si="0"/>
        <v>0.182</v>
      </c>
      <c r="F6" s="40">
        <f t="shared" si="0"/>
        <v>0.17</v>
      </c>
      <c r="G6" s="40">
        <f t="shared" si="0"/>
        <v>0.17499999999999999</v>
      </c>
      <c r="H6" s="40">
        <f t="shared" si="0"/>
        <v>0.95599999999999996</v>
      </c>
      <c r="I6" s="40">
        <f t="shared" si="0"/>
        <v>0.17199999999999999</v>
      </c>
      <c r="J6" s="40">
        <f t="shared" si="0"/>
        <v>0.24299999999999999</v>
      </c>
      <c r="K6" s="40">
        <f t="shared" si="0"/>
        <v>0.16400000000000001</v>
      </c>
      <c r="L6" s="40">
        <f t="shared" si="0"/>
        <v>0.16200000000000001</v>
      </c>
      <c r="M6" s="40">
        <f t="shared" si="0"/>
        <v>0.20599999999999999</v>
      </c>
      <c r="N6" s="40">
        <f t="shared" si="0"/>
        <v>0.217</v>
      </c>
      <c r="O6" s="40">
        <f t="shared" si="0"/>
        <v>0.186</v>
      </c>
      <c r="P6" s="40">
        <f t="shared" si="0"/>
        <v>0.158</v>
      </c>
      <c r="Q6" s="23"/>
      <c r="R6" s="23"/>
      <c r="S6" s="18" t="s">
        <v>30</v>
      </c>
      <c r="T6" s="38">
        <v>0.29499999999999998</v>
      </c>
      <c r="U6" s="38">
        <v>0.23899999999999999</v>
      </c>
      <c r="V6" s="38">
        <v>0.182</v>
      </c>
      <c r="W6" s="38">
        <v>0.17</v>
      </c>
      <c r="X6" s="38">
        <v>0.17499999999999999</v>
      </c>
      <c r="Y6" s="38">
        <v>0.95599999999999996</v>
      </c>
      <c r="Z6" s="38">
        <v>0.17199999999999999</v>
      </c>
      <c r="AA6" s="38">
        <v>0.24299999999999999</v>
      </c>
      <c r="AB6" s="38">
        <v>0.16400000000000001</v>
      </c>
      <c r="AC6" s="38">
        <v>0.16200000000000001</v>
      </c>
      <c r="AD6" s="38">
        <v>0.20599999999999999</v>
      </c>
      <c r="AE6" s="38">
        <v>0.217</v>
      </c>
      <c r="AF6" s="38">
        <v>0.186</v>
      </c>
      <c r="AG6" s="39">
        <v>0.158</v>
      </c>
    </row>
    <row r="7" spans="2:51">
      <c r="B7" s="18" t="s">
        <v>48</v>
      </c>
      <c r="C7" s="31">
        <f t="shared" ref="C7:C17" si="1">T7/C$6</f>
        <v>0.83389830508474583</v>
      </c>
      <c r="D7" s="31">
        <f t="shared" ref="D7:D17" si="2">U7/D$6</f>
        <v>0.98326359832635979</v>
      </c>
      <c r="E7" s="31">
        <f t="shared" ref="E7:E17" si="3">V7/E$6</f>
        <v>1.1868131868131868</v>
      </c>
      <c r="F7" s="31">
        <f t="shared" ref="F7:F17" si="4">W7/F$6</f>
        <v>1.1235294117647059</v>
      </c>
      <c r="G7" s="31">
        <f t="shared" ref="G7:G17" si="5">X7/G$6</f>
        <v>1.1085714285714288</v>
      </c>
      <c r="H7" s="31">
        <f t="shared" ref="H7:H17" si="6">Y7/H$6</f>
        <v>0.26464435146443516</v>
      </c>
      <c r="I7" s="31">
        <f t="shared" ref="I7:I17" si="7">Z7/I$6</f>
        <v>1.1162790697674421</v>
      </c>
      <c r="J7" s="31">
        <f t="shared" ref="J7:J17" si="8">AA7/J$6</f>
        <v>1.1275720164609055</v>
      </c>
      <c r="K7" s="31">
        <f t="shared" ref="K7:K17" si="9">AB7/K$6</f>
        <v>1.1158536585365852</v>
      </c>
      <c r="L7" s="31">
        <f t="shared" ref="L7:L17" si="10">AC7/L$6</f>
        <v>1.3888888888888888</v>
      </c>
      <c r="M7" s="31">
        <f t="shared" ref="M7:M17" si="11">AD7/M$6</f>
        <v>1.3349514563106797</v>
      </c>
      <c r="N7" s="31">
        <f t="shared" ref="N7:N17" si="12">AE7/N$6</f>
        <v>1.3456221198156681</v>
      </c>
      <c r="O7" s="31">
        <f t="shared" ref="O7:O17" si="13">AF7/O$6</f>
        <v>1.1129032258064515</v>
      </c>
      <c r="P7" s="31">
        <f t="shared" ref="P7:P17" si="14">AG7/P$6</f>
        <v>1.2721518987341773</v>
      </c>
      <c r="Q7" s="19"/>
      <c r="R7" s="19"/>
      <c r="S7" s="18" t="s">
        <v>48</v>
      </c>
      <c r="T7" s="38">
        <v>0.246</v>
      </c>
      <c r="U7" s="38">
        <v>0.23499999999999999</v>
      </c>
      <c r="V7" s="38">
        <v>0.216</v>
      </c>
      <c r="W7" s="38">
        <v>0.191</v>
      </c>
      <c r="X7" s="38">
        <v>0.19400000000000001</v>
      </c>
      <c r="Y7" s="38">
        <v>0.253</v>
      </c>
      <c r="Z7" s="38">
        <v>0.192</v>
      </c>
      <c r="AA7" s="38">
        <v>0.27400000000000002</v>
      </c>
      <c r="AB7" s="38">
        <v>0.183</v>
      </c>
      <c r="AC7" s="38">
        <v>0.22500000000000001</v>
      </c>
      <c r="AD7" s="38">
        <v>0.27500000000000002</v>
      </c>
      <c r="AE7" s="38">
        <v>0.29199999999999998</v>
      </c>
      <c r="AF7" s="38">
        <v>0.20699999999999999</v>
      </c>
      <c r="AG7" s="39">
        <v>0.20100000000000001</v>
      </c>
      <c r="AH7" s="2"/>
      <c r="AY7" s="6"/>
    </row>
    <row r="8" spans="2:51">
      <c r="B8" s="18" t="s">
        <v>58</v>
      </c>
      <c r="C8" s="31">
        <f t="shared" si="1"/>
        <v>0.70847457627118648</v>
      </c>
      <c r="D8" s="31">
        <f t="shared" si="2"/>
        <v>1.0167364016736402</v>
      </c>
      <c r="E8" s="31">
        <f t="shared" si="3"/>
        <v>1.3406593406593406</v>
      </c>
      <c r="F8" s="31">
        <f t="shared" si="4"/>
        <v>1.1529411764705881</v>
      </c>
      <c r="G8" s="31">
        <f t="shared" si="5"/>
        <v>1.102857142857143</v>
      </c>
      <c r="H8" s="31">
        <f t="shared" si="6"/>
        <v>0.26359832635983266</v>
      </c>
      <c r="I8" s="31">
        <f t="shared" si="7"/>
        <v>1.180232558139535</v>
      </c>
      <c r="J8" s="31">
        <f t="shared" si="8"/>
        <v>1.1522633744855968</v>
      </c>
      <c r="K8" s="31">
        <f t="shared" si="9"/>
        <v>1.2987804878048779</v>
      </c>
      <c r="L8" s="31">
        <f t="shared" si="10"/>
        <v>1.1975308641975309</v>
      </c>
      <c r="M8" s="31">
        <f t="shared" si="11"/>
        <v>1.2864077669902914</v>
      </c>
      <c r="N8" s="31">
        <f t="shared" si="12"/>
        <v>1.2764976958525347</v>
      </c>
      <c r="O8" s="31">
        <f t="shared" si="13"/>
        <v>1.1129032258064515</v>
      </c>
      <c r="P8" s="31">
        <f t="shared" si="14"/>
        <v>1.2341772151898736</v>
      </c>
      <c r="Q8" s="19"/>
      <c r="R8" s="19"/>
      <c r="S8" s="18" t="s">
        <v>58</v>
      </c>
      <c r="T8" s="38">
        <v>0.20899999999999999</v>
      </c>
      <c r="U8" s="38">
        <v>0.24299999999999999</v>
      </c>
      <c r="V8" s="38">
        <v>0.24399999999999999</v>
      </c>
      <c r="W8" s="38">
        <v>0.19600000000000001</v>
      </c>
      <c r="X8" s="38">
        <v>0.193</v>
      </c>
      <c r="Y8" s="38">
        <v>0.252</v>
      </c>
      <c r="Z8" s="38">
        <v>0.20300000000000001</v>
      </c>
      <c r="AA8" s="38">
        <v>0.28000000000000003</v>
      </c>
      <c r="AB8" s="38">
        <v>0.21299999999999999</v>
      </c>
      <c r="AC8" s="38">
        <v>0.19400000000000001</v>
      </c>
      <c r="AD8" s="38">
        <v>0.26500000000000001</v>
      </c>
      <c r="AE8" s="38">
        <v>0.27700000000000002</v>
      </c>
      <c r="AF8" s="38">
        <v>0.20699999999999999</v>
      </c>
      <c r="AG8" s="39">
        <v>0.19500000000000001</v>
      </c>
      <c r="AH8" s="2"/>
      <c r="AY8" s="6"/>
    </row>
    <row r="9" spans="2:51">
      <c r="B9" s="18" t="s">
        <v>29</v>
      </c>
      <c r="C9" s="31">
        <f t="shared" si="1"/>
        <v>0.73898305084745763</v>
      </c>
      <c r="D9" s="31">
        <f t="shared" si="2"/>
        <v>1.2133891213389121</v>
      </c>
      <c r="E9" s="31">
        <f t="shared" si="3"/>
        <v>1.3021978021978022</v>
      </c>
      <c r="F9" s="31">
        <f t="shared" si="4"/>
        <v>1.3117647058823529</v>
      </c>
      <c r="G9" s="31">
        <f t="shared" si="5"/>
        <v>1.28</v>
      </c>
      <c r="H9" s="31">
        <f t="shared" si="6"/>
        <v>0.30230125523012552</v>
      </c>
      <c r="I9" s="31">
        <f t="shared" si="7"/>
        <v>1.5406976744186049</v>
      </c>
      <c r="J9" s="31">
        <f t="shared" si="8"/>
        <v>1.1069958847736627</v>
      </c>
      <c r="K9" s="31">
        <f t="shared" si="9"/>
        <v>1.3963414634146341</v>
      </c>
      <c r="L9" s="31">
        <f t="shared" si="10"/>
        <v>1.2160493827160495</v>
      </c>
      <c r="M9" s="31">
        <f t="shared" si="11"/>
        <v>1.174757281553398</v>
      </c>
      <c r="N9" s="31">
        <f t="shared" si="12"/>
        <v>1.3732718894009217</v>
      </c>
      <c r="O9" s="31">
        <f t="shared" si="13"/>
        <v>1.2526881720430108</v>
      </c>
      <c r="P9" s="31">
        <f t="shared" si="14"/>
        <v>1.2658227848101267</v>
      </c>
      <c r="Q9" s="19"/>
      <c r="R9" s="19"/>
      <c r="S9" s="18" t="s">
        <v>29</v>
      </c>
      <c r="T9" s="38">
        <v>0.218</v>
      </c>
      <c r="U9" s="38">
        <v>0.28999999999999998</v>
      </c>
      <c r="V9" s="38">
        <v>0.23699999999999999</v>
      </c>
      <c r="W9" s="38">
        <v>0.223</v>
      </c>
      <c r="X9" s="38">
        <v>0.224</v>
      </c>
      <c r="Y9" s="38">
        <v>0.28899999999999998</v>
      </c>
      <c r="Z9" s="38">
        <v>0.26500000000000001</v>
      </c>
      <c r="AA9" s="38">
        <v>0.26900000000000002</v>
      </c>
      <c r="AB9" s="38">
        <v>0.22900000000000001</v>
      </c>
      <c r="AC9" s="38">
        <v>0.19700000000000001</v>
      </c>
      <c r="AD9" s="38">
        <v>0.24199999999999999</v>
      </c>
      <c r="AE9" s="38">
        <v>0.29799999999999999</v>
      </c>
      <c r="AF9" s="38">
        <v>0.23300000000000001</v>
      </c>
      <c r="AG9" s="39">
        <v>0.2</v>
      </c>
      <c r="AH9" s="2"/>
      <c r="AY9" s="6"/>
    </row>
    <row r="10" spans="2:51">
      <c r="B10" s="18" t="s">
        <v>31</v>
      </c>
      <c r="C10" s="31">
        <f t="shared" si="1"/>
        <v>0.58305084745762714</v>
      </c>
      <c r="D10" s="31">
        <f t="shared" si="2"/>
        <v>0.92468619246861927</v>
      </c>
      <c r="E10" s="31">
        <f t="shared" si="3"/>
        <v>1.1703296703296704</v>
      </c>
      <c r="F10" s="31">
        <f t="shared" si="4"/>
        <v>1.0470588235294116</v>
      </c>
      <c r="G10" s="31">
        <f t="shared" si="5"/>
        <v>0.98285714285714287</v>
      </c>
      <c r="H10" s="31">
        <f t="shared" si="6"/>
        <v>0.3682008368200837</v>
      </c>
      <c r="I10" s="31">
        <f t="shared" si="7"/>
        <v>1.0872093023255816</v>
      </c>
      <c r="J10" s="31">
        <f t="shared" si="8"/>
        <v>0.90123456790123457</v>
      </c>
      <c r="K10" s="31">
        <f t="shared" si="9"/>
        <v>1.0609756097560974</v>
      </c>
      <c r="L10" s="31">
        <f t="shared" si="10"/>
        <v>1.0185185185185186</v>
      </c>
      <c r="M10" s="31">
        <f t="shared" si="11"/>
        <v>1.1601941747572815</v>
      </c>
      <c r="N10" s="31">
        <f t="shared" si="12"/>
        <v>0.96774193548387089</v>
      </c>
      <c r="O10" s="31">
        <f t="shared" si="13"/>
        <v>1.1827956989247312</v>
      </c>
      <c r="P10" s="31">
        <f t="shared" si="14"/>
        <v>1.0696202531645571</v>
      </c>
      <c r="Q10" s="19"/>
      <c r="R10" s="19"/>
      <c r="S10" s="18" t="s">
        <v>31</v>
      </c>
      <c r="T10" s="38">
        <v>0.17199999999999999</v>
      </c>
      <c r="U10" s="38">
        <v>0.221</v>
      </c>
      <c r="V10" s="38">
        <v>0.21299999999999999</v>
      </c>
      <c r="W10" s="38">
        <v>0.17799999999999999</v>
      </c>
      <c r="X10" s="38">
        <v>0.17199999999999999</v>
      </c>
      <c r="Y10" s="38">
        <v>0.35199999999999998</v>
      </c>
      <c r="Z10" s="38">
        <v>0.187</v>
      </c>
      <c r="AA10" s="38">
        <v>0.219</v>
      </c>
      <c r="AB10" s="38">
        <v>0.17399999999999999</v>
      </c>
      <c r="AC10" s="38">
        <v>0.16500000000000001</v>
      </c>
      <c r="AD10" s="38">
        <v>0.23899999999999999</v>
      </c>
      <c r="AE10" s="38">
        <v>0.21</v>
      </c>
      <c r="AF10" s="38">
        <v>0.22</v>
      </c>
      <c r="AG10" s="39">
        <v>0.16900000000000001</v>
      </c>
      <c r="AH10" s="2"/>
      <c r="AY10" s="6"/>
    </row>
    <row r="11" spans="2:51">
      <c r="B11" s="18" t="s">
        <v>32</v>
      </c>
      <c r="C11" s="31">
        <f t="shared" si="1"/>
        <v>0.99322033898305084</v>
      </c>
      <c r="D11" s="31">
        <f t="shared" si="2"/>
        <v>1.100418410041841</v>
      </c>
      <c r="E11" s="31">
        <f t="shared" si="3"/>
        <v>1.9890109890109891</v>
      </c>
      <c r="F11" s="31">
        <f t="shared" si="4"/>
        <v>1.0999999999999999</v>
      </c>
      <c r="G11" s="31">
        <f t="shared" si="5"/>
        <v>0.94857142857142873</v>
      </c>
      <c r="H11" s="31">
        <f t="shared" si="6"/>
        <v>0.2489539748953975</v>
      </c>
      <c r="I11" s="31">
        <f t="shared" si="7"/>
        <v>1.1046511627906979</v>
      </c>
      <c r="J11" s="31">
        <f t="shared" si="8"/>
        <v>1.8353909465020577</v>
      </c>
      <c r="K11" s="31">
        <f t="shared" si="9"/>
        <v>1</v>
      </c>
      <c r="L11" s="31">
        <f t="shared" si="10"/>
        <v>0.98148148148148151</v>
      </c>
      <c r="M11" s="31">
        <f t="shared" si="11"/>
        <v>1.058252427184466</v>
      </c>
      <c r="N11" s="31">
        <f t="shared" si="12"/>
        <v>0.94009216589861744</v>
      </c>
      <c r="O11" s="31">
        <f t="shared" si="13"/>
        <v>1.1827956989247312</v>
      </c>
      <c r="P11" s="31">
        <f t="shared" si="14"/>
        <v>1.3291139240506329</v>
      </c>
      <c r="Q11" s="19"/>
      <c r="R11" s="19"/>
      <c r="S11" s="18" t="s">
        <v>32</v>
      </c>
      <c r="T11" s="38">
        <v>0.29299999999999998</v>
      </c>
      <c r="U11" s="38">
        <v>0.26300000000000001</v>
      </c>
      <c r="V11" s="38">
        <v>0.36199999999999999</v>
      </c>
      <c r="W11" s="38">
        <v>0.187</v>
      </c>
      <c r="X11" s="38">
        <v>0.16600000000000001</v>
      </c>
      <c r="Y11" s="38">
        <v>0.23799999999999999</v>
      </c>
      <c r="Z11" s="38">
        <v>0.19</v>
      </c>
      <c r="AA11" s="38">
        <v>0.44600000000000001</v>
      </c>
      <c r="AB11" s="38">
        <v>0.16400000000000001</v>
      </c>
      <c r="AC11" s="38">
        <v>0.159</v>
      </c>
      <c r="AD11" s="38">
        <v>0.218</v>
      </c>
      <c r="AE11" s="38">
        <v>0.20399999999999999</v>
      </c>
      <c r="AF11" s="38">
        <v>0.22</v>
      </c>
      <c r="AG11" s="39">
        <v>0.21</v>
      </c>
      <c r="AH11" s="2"/>
      <c r="AY11" s="6"/>
    </row>
    <row r="12" spans="2:51">
      <c r="B12" s="18" t="s">
        <v>33</v>
      </c>
      <c r="C12" s="31">
        <f t="shared" si="1"/>
        <v>0.50847457627118642</v>
      </c>
      <c r="D12" s="31">
        <f t="shared" si="2"/>
        <v>0.87447698744769875</v>
      </c>
      <c r="E12" s="31">
        <f t="shared" si="3"/>
        <v>0.99450549450549453</v>
      </c>
      <c r="F12" s="31">
        <f t="shared" si="4"/>
        <v>0.99411764705882355</v>
      </c>
      <c r="G12" s="31">
        <f t="shared" si="5"/>
        <v>0.94857142857142873</v>
      </c>
      <c r="H12" s="31">
        <f t="shared" si="6"/>
        <v>0.83054393305439334</v>
      </c>
      <c r="I12" s="31">
        <f t="shared" si="7"/>
        <v>1.1162790697674421</v>
      </c>
      <c r="J12" s="31">
        <f t="shared" si="8"/>
        <v>1.0576131687242798</v>
      </c>
      <c r="K12" s="31">
        <f t="shared" si="9"/>
        <v>1.3170731707317072</v>
      </c>
      <c r="L12" s="31">
        <f t="shared" si="10"/>
        <v>0.98148148148148151</v>
      </c>
      <c r="M12" s="31">
        <f t="shared" si="11"/>
        <v>1.1990291262135924</v>
      </c>
      <c r="N12" s="31">
        <f t="shared" si="12"/>
        <v>1.032258064516129</v>
      </c>
      <c r="O12" s="31">
        <f t="shared" si="13"/>
        <v>1.2204301075268817</v>
      </c>
      <c r="P12" s="31">
        <f t="shared" si="14"/>
        <v>1.2531645569620253</v>
      </c>
      <c r="Q12" s="19"/>
      <c r="R12" s="19"/>
      <c r="S12" s="18" t="s">
        <v>33</v>
      </c>
      <c r="T12" s="38">
        <v>0.15</v>
      </c>
      <c r="U12" s="38">
        <v>0.20899999999999999</v>
      </c>
      <c r="V12" s="38">
        <v>0.18099999999999999</v>
      </c>
      <c r="W12" s="38">
        <v>0.16900000000000001</v>
      </c>
      <c r="X12" s="38">
        <v>0.16600000000000001</v>
      </c>
      <c r="Y12" s="38">
        <v>0.79400000000000004</v>
      </c>
      <c r="Z12" s="38">
        <v>0.192</v>
      </c>
      <c r="AA12" s="38">
        <v>0.25700000000000001</v>
      </c>
      <c r="AB12" s="38">
        <v>0.216</v>
      </c>
      <c r="AC12" s="38">
        <v>0.159</v>
      </c>
      <c r="AD12" s="38">
        <v>0.247</v>
      </c>
      <c r="AE12" s="38">
        <v>0.224</v>
      </c>
      <c r="AF12" s="38">
        <v>0.22700000000000001</v>
      </c>
      <c r="AG12" s="39">
        <v>0.19800000000000001</v>
      </c>
      <c r="AH12" s="2"/>
      <c r="AY12" s="6"/>
    </row>
    <row r="13" spans="2:51">
      <c r="B13" s="18" t="s">
        <v>95</v>
      </c>
      <c r="C13" s="31">
        <f t="shared" si="1"/>
        <v>0.70847457627118648</v>
      </c>
      <c r="D13" s="31">
        <f t="shared" si="2"/>
        <v>1.2008368200836819</v>
      </c>
      <c r="E13" s="31">
        <f t="shared" si="3"/>
        <v>1.4065934065934067</v>
      </c>
      <c r="F13" s="31">
        <f t="shared" si="4"/>
        <v>1.3823529411764703</v>
      </c>
      <c r="G13" s="31">
        <f t="shared" si="5"/>
        <v>1.3771428571428572</v>
      </c>
      <c r="H13" s="31">
        <f t="shared" si="6"/>
        <v>0.32845188284518828</v>
      </c>
      <c r="I13" s="31">
        <f t="shared" si="7"/>
        <v>1.1860465116279071</v>
      </c>
      <c r="J13" s="31">
        <f t="shared" si="8"/>
        <v>1.308641975308642</v>
      </c>
      <c r="K13" s="31">
        <f t="shared" si="9"/>
        <v>1.3231707317073169</v>
      </c>
      <c r="L13" s="31">
        <f t="shared" si="10"/>
        <v>1.3395061728395061</v>
      </c>
      <c r="M13" s="31">
        <f t="shared" si="11"/>
        <v>1.6019417475728157</v>
      </c>
      <c r="N13" s="31">
        <f t="shared" si="12"/>
        <v>1.2811059907834104</v>
      </c>
      <c r="O13" s="31">
        <f t="shared" si="13"/>
        <v>1.413978494623656</v>
      </c>
      <c r="P13" s="31">
        <f t="shared" si="14"/>
        <v>1.4936708860759493</v>
      </c>
      <c r="Q13" s="19"/>
      <c r="R13" s="19"/>
      <c r="S13" s="18" t="s">
        <v>95</v>
      </c>
      <c r="T13" s="38">
        <v>0.20899999999999999</v>
      </c>
      <c r="U13" s="38">
        <v>0.28699999999999998</v>
      </c>
      <c r="V13" s="38">
        <v>0.25600000000000001</v>
      </c>
      <c r="W13" s="38">
        <v>0.23499999999999999</v>
      </c>
      <c r="X13" s="38">
        <v>0.24099999999999999</v>
      </c>
      <c r="Y13" s="38">
        <v>0.314</v>
      </c>
      <c r="Z13" s="38">
        <v>0.20399999999999999</v>
      </c>
      <c r="AA13" s="38">
        <v>0.318</v>
      </c>
      <c r="AB13" s="38">
        <v>0.217</v>
      </c>
      <c r="AC13" s="38">
        <v>0.217</v>
      </c>
      <c r="AD13" s="38">
        <v>0.33</v>
      </c>
      <c r="AE13" s="38">
        <v>0.27800000000000002</v>
      </c>
      <c r="AF13" s="38">
        <v>0.26300000000000001</v>
      </c>
      <c r="AG13" s="39">
        <v>0.23599999999999999</v>
      </c>
      <c r="AH13" s="2"/>
      <c r="AY13" s="6"/>
    </row>
    <row r="14" spans="2:51">
      <c r="B14" s="18" t="s">
        <v>94</v>
      </c>
      <c r="C14" s="31">
        <f t="shared" si="1"/>
        <v>0.51864406779661021</v>
      </c>
      <c r="D14" s="31">
        <f t="shared" si="2"/>
        <v>0.94979079497907959</v>
      </c>
      <c r="E14" s="31">
        <f t="shared" si="3"/>
        <v>1.0329670329670331</v>
      </c>
      <c r="F14" s="31">
        <f t="shared" si="4"/>
        <v>1.0176470588235293</v>
      </c>
      <c r="G14" s="31">
        <f t="shared" si="5"/>
        <v>0.97714285714285731</v>
      </c>
      <c r="H14" s="31">
        <f t="shared" si="6"/>
        <v>0.22175732217573221</v>
      </c>
      <c r="I14" s="31">
        <f t="shared" si="7"/>
        <v>0.94186046511627919</v>
      </c>
      <c r="J14" s="31">
        <f t="shared" si="8"/>
        <v>0.98353909465020573</v>
      </c>
      <c r="K14" s="31">
        <f t="shared" si="9"/>
        <v>1.0182926829268293</v>
      </c>
      <c r="L14" s="31">
        <f t="shared" si="10"/>
        <v>1.1049382716049383</v>
      </c>
      <c r="M14" s="31">
        <f t="shared" si="11"/>
        <v>1.092233009708738</v>
      </c>
      <c r="N14" s="31">
        <f t="shared" si="12"/>
        <v>1.0691244239631337</v>
      </c>
      <c r="O14" s="31">
        <f t="shared" si="13"/>
        <v>0.9731182795698925</v>
      </c>
      <c r="P14" s="31">
        <f t="shared" si="14"/>
        <v>1.0632911392405064</v>
      </c>
      <c r="Q14" s="28"/>
      <c r="R14" s="28"/>
      <c r="S14" s="18" t="s">
        <v>96</v>
      </c>
      <c r="T14" s="38">
        <v>0.153</v>
      </c>
      <c r="U14" s="38">
        <v>0.22700000000000001</v>
      </c>
      <c r="V14" s="38">
        <v>0.188</v>
      </c>
      <c r="W14" s="38">
        <v>0.17299999999999999</v>
      </c>
      <c r="X14" s="38">
        <v>0.17100000000000001</v>
      </c>
      <c r="Y14" s="38">
        <v>0.21199999999999999</v>
      </c>
      <c r="Z14" s="38">
        <v>0.16200000000000001</v>
      </c>
      <c r="AA14" s="38">
        <v>0.23899999999999999</v>
      </c>
      <c r="AB14" s="38">
        <v>0.16700000000000001</v>
      </c>
      <c r="AC14" s="38">
        <v>0.17899999999999999</v>
      </c>
      <c r="AD14" s="38">
        <v>0.22500000000000001</v>
      </c>
      <c r="AE14" s="38">
        <v>0.23200000000000001</v>
      </c>
      <c r="AF14" s="38">
        <v>0.18099999999999999</v>
      </c>
      <c r="AG14" s="39">
        <v>0.16800000000000001</v>
      </c>
    </row>
    <row r="15" spans="2:51">
      <c r="B15" s="17" t="s">
        <v>91</v>
      </c>
      <c r="C15" s="31">
        <f t="shared" si="1"/>
        <v>0.54915254237288136</v>
      </c>
      <c r="D15" s="31">
        <f t="shared" si="2"/>
        <v>0.89958158995815907</v>
      </c>
      <c r="E15" s="31">
        <f t="shared" si="3"/>
        <v>1.0494505494505495</v>
      </c>
      <c r="F15" s="31">
        <f t="shared" si="4"/>
        <v>1.0235294117647058</v>
      </c>
      <c r="G15" s="31">
        <f t="shared" si="5"/>
        <v>1.0571428571428572</v>
      </c>
      <c r="H15" s="31">
        <f t="shared" si="6"/>
        <v>0.2384937238493724</v>
      </c>
      <c r="I15" s="31">
        <f t="shared" si="7"/>
        <v>1.11046511627907</v>
      </c>
      <c r="J15" s="31">
        <f t="shared" si="8"/>
        <v>0.93415637860082312</v>
      </c>
      <c r="K15" s="31">
        <f t="shared" si="9"/>
        <v>1.0731707317073169</v>
      </c>
      <c r="L15" s="31">
        <f t="shared" si="10"/>
        <v>1.0185185185185186</v>
      </c>
      <c r="M15" s="31">
        <f t="shared" si="11"/>
        <v>1.029126213592233</v>
      </c>
      <c r="N15" s="31">
        <f t="shared" si="12"/>
        <v>1.0460829493087558</v>
      </c>
      <c r="O15" s="31">
        <f t="shared" si="13"/>
        <v>1.010752688172043</v>
      </c>
      <c r="P15" s="31">
        <f t="shared" si="14"/>
        <v>1.0379746835443038</v>
      </c>
      <c r="Q15" s="19"/>
      <c r="R15" s="19"/>
      <c r="S15" s="18" t="s">
        <v>91</v>
      </c>
      <c r="T15" s="38">
        <v>0.16200000000000001</v>
      </c>
      <c r="U15" s="38">
        <v>0.215</v>
      </c>
      <c r="V15" s="38">
        <v>0.191</v>
      </c>
      <c r="W15" s="38">
        <v>0.17399999999999999</v>
      </c>
      <c r="X15" s="38">
        <v>0.185</v>
      </c>
      <c r="Y15" s="38">
        <v>0.22800000000000001</v>
      </c>
      <c r="Z15" s="38">
        <v>0.191</v>
      </c>
      <c r="AA15" s="38">
        <v>0.22700000000000001</v>
      </c>
      <c r="AB15" s="38">
        <v>0.17599999999999999</v>
      </c>
      <c r="AC15" s="38">
        <v>0.16500000000000001</v>
      </c>
      <c r="AD15" s="38">
        <v>0.21199999999999999</v>
      </c>
      <c r="AE15" s="38">
        <v>0.22700000000000001</v>
      </c>
      <c r="AF15" s="38">
        <v>0.188</v>
      </c>
      <c r="AG15" s="39">
        <v>0.16400000000000001</v>
      </c>
    </row>
    <row r="16" spans="2:51">
      <c r="B16" s="17" t="s">
        <v>57</v>
      </c>
      <c r="C16" s="31">
        <f t="shared" si="1"/>
        <v>0.66440677966101702</v>
      </c>
      <c r="D16" s="31">
        <f t="shared" si="2"/>
        <v>1.1129707112970713</v>
      </c>
      <c r="E16" s="31">
        <f t="shared" si="3"/>
        <v>1.3626373626373627</v>
      </c>
      <c r="F16" s="31">
        <f t="shared" si="4"/>
        <v>1.3529411764705881</v>
      </c>
      <c r="G16" s="31">
        <f t="shared" si="5"/>
        <v>1.4171428571428573</v>
      </c>
      <c r="H16" s="31">
        <f t="shared" si="6"/>
        <v>0.32217573221757323</v>
      </c>
      <c r="I16" s="31">
        <f t="shared" si="7"/>
        <v>1.2034883720930234</v>
      </c>
      <c r="J16" s="31">
        <f t="shared" si="8"/>
        <v>1.2098765432098766</v>
      </c>
      <c r="K16" s="31">
        <f t="shared" si="9"/>
        <v>1.2865853658536583</v>
      </c>
      <c r="L16" s="31">
        <f t="shared" si="10"/>
        <v>1.1296296296296295</v>
      </c>
      <c r="M16" s="31">
        <f t="shared" si="11"/>
        <v>1.5048543689320388</v>
      </c>
      <c r="N16" s="31">
        <f t="shared" si="12"/>
        <v>1.1889400921658986</v>
      </c>
      <c r="O16" s="31">
        <f t="shared" si="13"/>
        <v>1.4086021505376345</v>
      </c>
      <c r="P16" s="31">
        <f t="shared" si="14"/>
        <v>1.4936708860759493</v>
      </c>
      <c r="Q16" s="19"/>
      <c r="R16" s="19"/>
      <c r="S16" s="18" t="s">
        <v>57</v>
      </c>
      <c r="T16" s="38">
        <v>0.19600000000000001</v>
      </c>
      <c r="U16" s="38">
        <v>0.26600000000000001</v>
      </c>
      <c r="V16" s="38">
        <v>0.248</v>
      </c>
      <c r="W16" s="38">
        <v>0.23</v>
      </c>
      <c r="X16" s="38">
        <v>0.248</v>
      </c>
      <c r="Y16" s="38">
        <v>0.308</v>
      </c>
      <c r="Z16" s="38">
        <v>0.20699999999999999</v>
      </c>
      <c r="AA16" s="38">
        <v>0.29399999999999998</v>
      </c>
      <c r="AB16" s="38">
        <v>0.21099999999999999</v>
      </c>
      <c r="AC16" s="38">
        <v>0.183</v>
      </c>
      <c r="AD16" s="38">
        <v>0.31</v>
      </c>
      <c r="AE16" s="38">
        <v>0.25800000000000001</v>
      </c>
      <c r="AF16" s="38">
        <v>0.26200000000000001</v>
      </c>
      <c r="AG16" s="39">
        <v>0.23599999999999999</v>
      </c>
    </row>
    <row r="17" spans="2:49">
      <c r="B17" s="18" t="s">
        <v>89</v>
      </c>
      <c r="C17" s="31">
        <f t="shared" si="1"/>
        <v>0.50847457627118642</v>
      </c>
      <c r="D17" s="31">
        <f t="shared" si="2"/>
        <v>0.91213389121338917</v>
      </c>
      <c r="E17" s="31">
        <f t="shared" si="3"/>
        <v>1</v>
      </c>
      <c r="F17" s="31">
        <f t="shared" si="4"/>
        <v>0.99411764705882355</v>
      </c>
      <c r="G17" s="31">
        <f t="shared" si="5"/>
        <v>0.97714285714285731</v>
      </c>
      <c r="H17" s="31">
        <f t="shared" si="6"/>
        <v>0.2384937238493724</v>
      </c>
      <c r="I17" s="31">
        <f t="shared" si="7"/>
        <v>0.94186046511627919</v>
      </c>
      <c r="J17" s="31">
        <f t="shared" si="8"/>
        <v>0.95884773662551448</v>
      </c>
      <c r="K17" s="31">
        <f t="shared" si="9"/>
        <v>0.98780487804878048</v>
      </c>
      <c r="L17" s="31">
        <f t="shared" si="10"/>
        <v>1.0061728395061729</v>
      </c>
      <c r="M17" s="31">
        <f t="shared" si="11"/>
        <v>1.058252427184466</v>
      </c>
      <c r="N17" s="31">
        <f t="shared" si="12"/>
        <v>0.98617511520737322</v>
      </c>
      <c r="O17" s="31">
        <f t="shared" si="13"/>
        <v>1.0053763440860215</v>
      </c>
      <c r="P17" s="31">
        <f t="shared" si="14"/>
        <v>1.0443037974683544</v>
      </c>
      <c r="Q17" s="19"/>
      <c r="R17" s="19"/>
      <c r="S17" s="18" t="s">
        <v>97</v>
      </c>
      <c r="T17" s="38">
        <v>0.15</v>
      </c>
      <c r="U17" s="38">
        <v>0.218</v>
      </c>
      <c r="V17" s="38">
        <v>0.182</v>
      </c>
      <c r="W17" s="38">
        <v>0.16900000000000001</v>
      </c>
      <c r="X17" s="38">
        <v>0.17100000000000001</v>
      </c>
      <c r="Y17" s="38">
        <v>0.22800000000000001</v>
      </c>
      <c r="Z17" s="38">
        <v>0.16200000000000001</v>
      </c>
      <c r="AA17" s="38">
        <v>0.23300000000000001</v>
      </c>
      <c r="AB17" s="38">
        <v>0.16200000000000001</v>
      </c>
      <c r="AC17" s="38">
        <v>0.16300000000000001</v>
      </c>
      <c r="AD17" s="38">
        <v>0.218</v>
      </c>
      <c r="AE17" s="38">
        <v>0.214</v>
      </c>
      <c r="AF17" s="38">
        <v>0.187</v>
      </c>
      <c r="AG17" s="39">
        <v>0.16500000000000001</v>
      </c>
    </row>
    <row r="18" spans="2:49">
      <c r="B18" s="46" t="s">
        <v>93</v>
      </c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25"/>
      <c r="R18" s="25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9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</row>
    <row r="19" spans="2:49">
      <c r="B19" s="17" t="s">
        <v>92</v>
      </c>
      <c r="C19" s="32">
        <f t="shared" ref="C19:P20" si="15">T19/C$6</f>
        <v>0.54915254237288136</v>
      </c>
      <c r="D19" s="32">
        <f t="shared" si="15"/>
        <v>0.88702928870292885</v>
      </c>
      <c r="E19" s="32">
        <f t="shared" si="15"/>
        <v>1.0274725274725276</v>
      </c>
      <c r="F19" s="32">
        <f t="shared" si="15"/>
        <v>1.0176470588235293</v>
      </c>
      <c r="G19" s="32">
        <f t="shared" si="15"/>
        <v>1</v>
      </c>
      <c r="H19" s="32">
        <f t="shared" si="15"/>
        <v>0.23430962343096234</v>
      </c>
      <c r="I19" s="32">
        <f t="shared" si="15"/>
        <v>1.0523255813953489</v>
      </c>
      <c r="J19" s="32">
        <f t="shared" si="15"/>
        <v>0.91769547325102885</v>
      </c>
      <c r="K19" s="32">
        <f t="shared" si="15"/>
        <v>1.024390243902439</v>
      </c>
      <c r="L19" s="32">
        <f t="shared" si="15"/>
        <v>1.0185185185185186</v>
      </c>
      <c r="M19" s="32">
        <f t="shared" si="15"/>
        <v>1.0097087378640777</v>
      </c>
      <c r="N19" s="32">
        <f t="shared" si="15"/>
        <v>1.032258064516129</v>
      </c>
      <c r="O19" s="32">
        <f t="shared" si="15"/>
        <v>0.9731182795698925</v>
      </c>
      <c r="P19" s="32">
        <f t="shared" si="15"/>
        <v>1.0316455696202531</v>
      </c>
      <c r="Q19" s="29"/>
      <c r="R19" s="29"/>
      <c r="S19" s="18" t="s">
        <v>92</v>
      </c>
      <c r="T19" s="38">
        <v>0.16200000000000001</v>
      </c>
      <c r="U19" s="38">
        <v>0.21199999999999999</v>
      </c>
      <c r="V19" s="38">
        <v>0.187</v>
      </c>
      <c r="W19" s="38">
        <v>0.17299999999999999</v>
      </c>
      <c r="X19" s="38">
        <v>0.17499999999999999</v>
      </c>
      <c r="Y19" s="38">
        <v>0.224</v>
      </c>
      <c r="Z19" s="38">
        <v>0.18099999999999999</v>
      </c>
      <c r="AA19" s="38">
        <v>0.223</v>
      </c>
      <c r="AB19" s="38">
        <v>0.16800000000000001</v>
      </c>
      <c r="AC19" s="38">
        <v>0.16500000000000001</v>
      </c>
      <c r="AD19" s="38">
        <v>0.20799999999999999</v>
      </c>
      <c r="AE19" s="38">
        <v>0.224</v>
      </c>
      <c r="AF19" s="38">
        <v>0.18099999999999999</v>
      </c>
      <c r="AG19" s="39">
        <v>0.16300000000000001</v>
      </c>
      <c r="AH19" s="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</row>
    <row r="20" spans="2:49">
      <c r="B20" s="17" t="s">
        <v>88</v>
      </c>
      <c r="C20" s="33">
        <f t="shared" si="15"/>
        <v>0.71864406779661016</v>
      </c>
      <c r="D20" s="33">
        <f t="shared" si="15"/>
        <v>1.0376569037656904</v>
      </c>
      <c r="E20" s="33">
        <f t="shared" si="15"/>
        <v>1.0769230769230771</v>
      </c>
      <c r="F20" s="33">
        <f t="shared" si="15"/>
        <v>1.088235294117647</v>
      </c>
      <c r="G20" s="33">
        <f t="shared" si="15"/>
        <v>1</v>
      </c>
      <c r="H20" s="33">
        <f t="shared" si="15"/>
        <v>1.4079497907949792</v>
      </c>
      <c r="I20" s="33">
        <f t="shared" si="15"/>
        <v>1.0058139534883721</v>
      </c>
      <c r="J20" s="33">
        <f t="shared" si="15"/>
        <v>0.93004115226337458</v>
      </c>
      <c r="K20" s="33">
        <f t="shared" si="15"/>
        <v>0.98780487804878048</v>
      </c>
      <c r="L20" s="33">
        <f t="shared" si="15"/>
        <v>0.99382716049382713</v>
      </c>
      <c r="M20" s="33">
        <f t="shared" si="15"/>
        <v>1.0436893203883495</v>
      </c>
      <c r="N20" s="33">
        <f t="shared" si="15"/>
        <v>1.0092165898617511</v>
      </c>
      <c r="O20" s="33">
        <f t="shared" si="15"/>
        <v>1.0698924731182797</v>
      </c>
      <c r="P20" s="33">
        <f t="shared" si="15"/>
        <v>1.1139240506329113</v>
      </c>
      <c r="Q20" s="29"/>
      <c r="R20" s="29"/>
      <c r="S20" s="18" t="s">
        <v>88</v>
      </c>
      <c r="T20" s="38">
        <v>0.21199999999999999</v>
      </c>
      <c r="U20" s="38">
        <v>0.248</v>
      </c>
      <c r="V20" s="38">
        <v>0.19600000000000001</v>
      </c>
      <c r="W20" s="38">
        <v>0.185</v>
      </c>
      <c r="X20" s="38">
        <v>0.17499999999999999</v>
      </c>
      <c r="Y20" s="38">
        <v>1.3460000000000001</v>
      </c>
      <c r="Z20" s="38">
        <v>0.17299999999999999</v>
      </c>
      <c r="AA20" s="38">
        <v>0.22600000000000001</v>
      </c>
      <c r="AB20" s="38">
        <v>0.16200000000000001</v>
      </c>
      <c r="AC20" s="38">
        <v>0.161</v>
      </c>
      <c r="AD20" s="38">
        <v>0.215</v>
      </c>
      <c r="AE20" s="38">
        <v>0.219</v>
      </c>
      <c r="AF20" s="38">
        <v>0.19900000000000001</v>
      </c>
      <c r="AG20" s="39">
        <v>0.17599999999999999</v>
      </c>
      <c r="AH20" s="19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</row>
    <row r="21" spans="2:49">
      <c r="B21" s="46" t="s">
        <v>90</v>
      </c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25"/>
      <c r="R21" s="25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9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</row>
    <row r="22" spans="2:49">
      <c r="B22" s="18" t="s">
        <v>59</v>
      </c>
      <c r="C22" s="32">
        <f t="shared" ref="C22:P23" si="16">T22/C$6</f>
        <v>0.48813559322033895</v>
      </c>
      <c r="D22" s="32">
        <f t="shared" si="16"/>
        <v>0.86192468619246865</v>
      </c>
      <c r="E22" s="32">
        <f t="shared" si="16"/>
        <v>0.98351648351648346</v>
      </c>
      <c r="F22" s="32">
        <f t="shared" si="16"/>
        <v>0.92352941176470582</v>
      </c>
      <c r="G22" s="32">
        <f t="shared" si="16"/>
        <v>0.88</v>
      </c>
      <c r="H22" s="32">
        <f t="shared" si="16"/>
        <v>0.20188284518828453</v>
      </c>
      <c r="I22" s="32">
        <f t="shared" si="16"/>
        <v>0.97093023255813971</v>
      </c>
      <c r="J22" s="32">
        <f t="shared" si="16"/>
        <v>0.83127572016460916</v>
      </c>
      <c r="K22" s="32">
        <f t="shared" si="16"/>
        <v>0.98170731707317072</v>
      </c>
      <c r="L22" s="32">
        <f t="shared" si="16"/>
        <v>0.95679012345679004</v>
      </c>
      <c r="M22" s="32">
        <f t="shared" si="16"/>
        <v>0.94174757281553401</v>
      </c>
      <c r="N22" s="32">
        <f t="shared" si="16"/>
        <v>0.94470046082949299</v>
      </c>
      <c r="O22" s="32">
        <f t="shared" si="16"/>
        <v>0.89247311827956999</v>
      </c>
      <c r="P22" s="32">
        <f t="shared" si="16"/>
        <v>0.98101265822784811</v>
      </c>
      <c r="Q22" s="28"/>
      <c r="R22" s="28"/>
      <c r="S22" s="18" t="s">
        <v>59</v>
      </c>
      <c r="T22" s="38">
        <v>0.14399999999999999</v>
      </c>
      <c r="U22" s="38">
        <v>0.20599999999999999</v>
      </c>
      <c r="V22" s="38">
        <v>0.17899999999999999</v>
      </c>
      <c r="W22" s="38">
        <v>0.157</v>
      </c>
      <c r="X22" s="38">
        <v>0.154</v>
      </c>
      <c r="Y22" s="38">
        <v>0.193</v>
      </c>
      <c r="Z22" s="38">
        <v>0.16700000000000001</v>
      </c>
      <c r="AA22" s="38">
        <v>0.20200000000000001</v>
      </c>
      <c r="AB22" s="38">
        <v>0.161</v>
      </c>
      <c r="AC22" s="38">
        <v>0.155</v>
      </c>
      <c r="AD22" s="38">
        <v>0.19400000000000001</v>
      </c>
      <c r="AE22" s="38">
        <v>0.20499999999999999</v>
      </c>
      <c r="AF22" s="38">
        <v>0.16600000000000001</v>
      </c>
      <c r="AG22" s="39">
        <v>0.155</v>
      </c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</row>
    <row r="23" spans="2:49">
      <c r="B23" s="20" t="s">
        <v>60</v>
      </c>
      <c r="C23" s="33">
        <f t="shared" si="16"/>
        <v>0.48474576271186437</v>
      </c>
      <c r="D23" s="33">
        <f t="shared" si="16"/>
        <v>0.85774058577405854</v>
      </c>
      <c r="E23" s="33">
        <f t="shared" si="16"/>
        <v>0.97802197802197799</v>
      </c>
      <c r="F23" s="33">
        <f t="shared" si="16"/>
        <v>0.91764705882352937</v>
      </c>
      <c r="G23" s="33">
        <f t="shared" si="16"/>
        <v>0.87428571428571433</v>
      </c>
      <c r="H23" s="33">
        <f t="shared" si="16"/>
        <v>0.19979079497907951</v>
      </c>
      <c r="I23" s="33">
        <f t="shared" si="16"/>
        <v>0.9534883720930234</v>
      </c>
      <c r="J23" s="33">
        <f t="shared" si="16"/>
        <v>0.82304526748971196</v>
      </c>
      <c r="K23" s="33">
        <f t="shared" si="16"/>
        <v>0.96341463414634143</v>
      </c>
      <c r="L23" s="33">
        <f t="shared" si="16"/>
        <v>0.94444444444444442</v>
      </c>
      <c r="M23" s="33">
        <f t="shared" si="16"/>
        <v>0.94174757281553401</v>
      </c>
      <c r="N23" s="33">
        <f t="shared" si="16"/>
        <v>0.93548387096774199</v>
      </c>
      <c r="O23" s="33">
        <f t="shared" si="16"/>
        <v>0.89784946236559149</v>
      </c>
      <c r="P23" s="33">
        <f t="shared" si="16"/>
        <v>0.98101265822784811</v>
      </c>
      <c r="Q23" s="30"/>
      <c r="R23" s="30"/>
      <c r="S23" s="18" t="s">
        <v>60</v>
      </c>
      <c r="T23" s="38">
        <v>0.14299999999999999</v>
      </c>
      <c r="U23" s="38">
        <v>0.20499999999999999</v>
      </c>
      <c r="V23" s="38">
        <v>0.17799999999999999</v>
      </c>
      <c r="W23" s="38">
        <v>0.156</v>
      </c>
      <c r="X23" s="38">
        <v>0.153</v>
      </c>
      <c r="Y23" s="38">
        <v>0.191</v>
      </c>
      <c r="Z23" s="38">
        <v>0.16400000000000001</v>
      </c>
      <c r="AA23" s="38">
        <v>0.2</v>
      </c>
      <c r="AB23" s="38">
        <v>0.158</v>
      </c>
      <c r="AC23" s="38">
        <v>0.153</v>
      </c>
      <c r="AD23" s="38">
        <v>0.19400000000000001</v>
      </c>
      <c r="AE23" s="38">
        <v>0.20300000000000001</v>
      </c>
      <c r="AF23" s="38">
        <v>0.16700000000000001</v>
      </c>
      <c r="AG23" s="39">
        <v>0.155</v>
      </c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</row>
    <row r="24" spans="2:49">
      <c r="B24" s="45" t="s">
        <v>98</v>
      </c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S24" s="18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</row>
    <row r="25" spans="2:49">
      <c r="B25" s="20" t="s">
        <v>61</v>
      </c>
      <c r="C25" s="22">
        <f>T25</f>
        <v>9.5</v>
      </c>
      <c r="D25" s="22">
        <f t="shared" ref="D25:P36" si="17">U25</f>
        <v>10.4</v>
      </c>
      <c r="E25" s="22">
        <f t="shared" si="17"/>
        <v>9.6999999999999993</v>
      </c>
      <c r="F25" s="22">
        <f t="shared" si="17"/>
        <v>9.6999999999999993</v>
      </c>
      <c r="G25" s="22">
        <f t="shared" si="17"/>
        <v>10.1</v>
      </c>
      <c r="H25" s="22">
        <f t="shared" si="17"/>
        <v>9.8000000000000007</v>
      </c>
      <c r="I25" s="22">
        <f t="shared" si="17"/>
        <v>9.5</v>
      </c>
      <c r="J25" s="22">
        <f t="shared" si="17"/>
        <v>9.6999999999999993</v>
      </c>
      <c r="K25" s="22">
        <f t="shared" si="17"/>
        <v>9.3000000000000007</v>
      </c>
      <c r="L25" s="22">
        <f t="shared" si="17"/>
        <v>9.4</v>
      </c>
      <c r="M25" s="22">
        <f t="shared" si="17"/>
        <v>9.5</v>
      </c>
      <c r="N25" s="22">
        <f t="shared" si="17"/>
        <v>9.9</v>
      </c>
      <c r="O25" s="22">
        <f t="shared" si="17"/>
        <v>9.8000000000000007</v>
      </c>
      <c r="P25" s="22">
        <f t="shared" si="17"/>
        <v>9.6</v>
      </c>
      <c r="S25" s="18" t="s">
        <v>30</v>
      </c>
      <c r="T25" s="2">
        <v>9.5</v>
      </c>
      <c r="U25" s="2">
        <v>10.4</v>
      </c>
      <c r="V25" s="2">
        <v>9.6999999999999993</v>
      </c>
      <c r="W25" s="2">
        <v>9.6999999999999993</v>
      </c>
      <c r="X25" s="2">
        <v>10.1</v>
      </c>
      <c r="Y25" s="2">
        <v>9.8000000000000007</v>
      </c>
      <c r="Z25" s="2">
        <v>9.5</v>
      </c>
      <c r="AA25" s="2">
        <v>9.6999999999999993</v>
      </c>
      <c r="AB25" s="2">
        <v>9.3000000000000007</v>
      </c>
      <c r="AC25" s="2">
        <v>9.4</v>
      </c>
      <c r="AD25" s="2">
        <v>9.5</v>
      </c>
      <c r="AE25" s="2">
        <v>9.9</v>
      </c>
      <c r="AF25" s="2">
        <v>9.8000000000000007</v>
      </c>
      <c r="AG25" s="2">
        <v>9.6</v>
      </c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</row>
    <row r="26" spans="2:49">
      <c r="B26" s="18" t="s">
        <v>48</v>
      </c>
      <c r="C26" s="24">
        <f>T26</f>
        <v>14.2</v>
      </c>
      <c r="D26" s="24">
        <f t="shared" si="17"/>
        <v>10.3</v>
      </c>
      <c r="E26" s="24">
        <f t="shared" si="17"/>
        <v>11</v>
      </c>
      <c r="F26" s="24">
        <f t="shared" si="17"/>
        <v>10.8</v>
      </c>
      <c r="G26" s="24">
        <f t="shared" si="17"/>
        <v>10.9</v>
      </c>
      <c r="H26" s="24">
        <f t="shared" si="17"/>
        <v>11.2</v>
      </c>
      <c r="I26" s="24">
        <f t="shared" si="17"/>
        <v>10.6</v>
      </c>
      <c r="J26" s="24">
        <f t="shared" si="17"/>
        <v>12</v>
      </c>
      <c r="K26" s="24">
        <f t="shared" si="17"/>
        <v>10.1</v>
      </c>
      <c r="L26" s="24">
        <f t="shared" si="17"/>
        <v>12.7</v>
      </c>
      <c r="M26" s="24">
        <f t="shared" si="17"/>
        <v>12.5</v>
      </c>
      <c r="N26" s="24">
        <f t="shared" si="17"/>
        <v>12.6</v>
      </c>
      <c r="O26" s="24">
        <f t="shared" si="17"/>
        <v>11</v>
      </c>
      <c r="P26" s="24">
        <f t="shared" si="17"/>
        <v>11.8</v>
      </c>
      <c r="S26" s="18" t="s">
        <v>76</v>
      </c>
      <c r="T26" s="2">
        <v>14.2</v>
      </c>
      <c r="U26" s="2">
        <v>10.3</v>
      </c>
      <c r="V26" s="2">
        <v>11</v>
      </c>
      <c r="W26" s="2">
        <v>10.8</v>
      </c>
      <c r="X26" s="2">
        <v>10.9</v>
      </c>
      <c r="Y26" s="2">
        <v>11.2</v>
      </c>
      <c r="Z26" s="2">
        <v>10.6</v>
      </c>
      <c r="AA26" s="2">
        <v>12</v>
      </c>
      <c r="AB26" s="2">
        <v>10.1</v>
      </c>
      <c r="AC26" s="2">
        <v>12.7</v>
      </c>
      <c r="AD26" s="2">
        <v>12.5</v>
      </c>
      <c r="AE26" s="2">
        <v>12.6</v>
      </c>
      <c r="AF26" s="2">
        <v>11</v>
      </c>
      <c r="AG26" s="2">
        <v>11.8</v>
      </c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</row>
    <row r="27" spans="2:49">
      <c r="B27" s="18" t="s">
        <v>58</v>
      </c>
      <c r="C27" s="24">
        <f t="shared" ref="C27:C35" si="18">T27</f>
        <v>9.3000000000000007</v>
      </c>
      <c r="D27" s="24">
        <f t="shared" si="17"/>
        <v>8.6999999999999993</v>
      </c>
      <c r="E27" s="24">
        <f t="shared" si="17"/>
        <v>9.6</v>
      </c>
      <c r="F27" s="24">
        <f t="shared" si="17"/>
        <v>9.5</v>
      </c>
      <c r="G27" s="24">
        <f t="shared" si="17"/>
        <v>9.6999999999999993</v>
      </c>
      <c r="H27" s="24">
        <f t="shared" si="17"/>
        <v>9.9</v>
      </c>
      <c r="I27" s="24">
        <f t="shared" si="17"/>
        <v>9.3000000000000007</v>
      </c>
      <c r="J27" s="24">
        <f t="shared" si="17"/>
        <v>9.6999999999999993</v>
      </c>
      <c r="K27" s="24">
        <f t="shared" si="17"/>
        <v>10.4</v>
      </c>
      <c r="L27" s="24">
        <f t="shared" si="17"/>
        <v>9.4</v>
      </c>
      <c r="M27" s="24">
        <f t="shared" si="17"/>
        <v>10</v>
      </c>
      <c r="N27" s="24">
        <f t="shared" si="17"/>
        <v>9.1</v>
      </c>
      <c r="O27" s="24">
        <f t="shared" si="17"/>
        <v>9.6999999999999993</v>
      </c>
      <c r="P27" s="24">
        <f t="shared" si="17"/>
        <v>9.6</v>
      </c>
      <c r="Q27" s="23"/>
      <c r="R27" s="23"/>
      <c r="S27" s="18" t="s">
        <v>77</v>
      </c>
      <c r="T27" s="2">
        <v>9.3000000000000007</v>
      </c>
      <c r="U27" s="2">
        <v>8.6999999999999993</v>
      </c>
      <c r="V27" s="2">
        <v>9.6</v>
      </c>
      <c r="W27" s="2">
        <v>9.5</v>
      </c>
      <c r="X27" s="2">
        <v>9.6999999999999993</v>
      </c>
      <c r="Y27" s="2">
        <v>9.9</v>
      </c>
      <c r="Z27" s="2">
        <v>9.3000000000000007</v>
      </c>
      <c r="AA27" s="2">
        <v>9.6999999999999993</v>
      </c>
      <c r="AB27" s="2">
        <v>10.4</v>
      </c>
      <c r="AC27" s="2">
        <v>9.4</v>
      </c>
      <c r="AD27" s="2">
        <v>10</v>
      </c>
      <c r="AE27" s="2">
        <v>9.1</v>
      </c>
      <c r="AF27" s="2">
        <v>9.6999999999999993</v>
      </c>
      <c r="AG27" s="2">
        <v>9.6</v>
      </c>
      <c r="AH27" s="2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</row>
    <row r="28" spans="2:49" ht="14.45" customHeight="1">
      <c r="B28" s="18" t="s">
        <v>29</v>
      </c>
      <c r="C28" s="24">
        <f t="shared" si="18"/>
        <v>12</v>
      </c>
      <c r="D28" s="24">
        <f t="shared" si="17"/>
        <v>12.2</v>
      </c>
      <c r="E28" s="24">
        <f t="shared" si="17"/>
        <v>11.6</v>
      </c>
      <c r="F28" s="24">
        <f t="shared" si="17"/>
        <v>11.8</v>
      </c>
      <c r="G28" s="24">
        <f t="shared" si="17"/>
        <v>11.5</v>
      </c>
      <c r="H28" s="24">
        <f t="shared" si="17"/>
        <v>12.6</v>
      </c>
      <c r="I28" s="24">
        <f t="shared" si="17"/>
        <v>12.6</v>
      </c>
      <c r="J28" s="24">
        <f t="shared" si="17"/>
        <v>11.7</v>
      </c>
      <c r="K28" s="24">
        <f t="shared" si="17"/>
        <v>12.1</v>
      </c>
      <c r="L28" s="24">
        <f t="shared" si="17"/>
        <v>11.3</v>
      </c>
      <c r="M28" s="24">
        <f t="shared" si="17"/>
        <v>11.4</v>
      </c>
      <c r="N28" s="24">
        <f t="shared" si="17"/>
        <v>12.7</v>
      </c>
      <c r="O28" s="24">
        <f t="shared" si="17"/>
        <v>11.8</v>
      </c>
      <c r="P28" s="24">
        <f t="shared" si="17"/>
        <v>11.4</v>
      </c>
      <c r="Q28" s="23"/>
      <c r="R28" s="23"/>
      <c r="S28" s="18" t="s">
        <v>29</v>
      </c>
      <c r="T28" s="2">
        <v>12</v>
      </c>
      <c r="U28" s="2">
        <v>12.2</v>
      </c>
      <c r="V28" s="2">
        <v>11.6</v>
      </c>
      <c r="W28" s="2">
        <v>11.8</v>
      </c>
      <c r="X28" s="2">
        <v>11.5</v>
      </c>
      <c r="Y28" s="2">
        <v>12.6</v>
      </c>
      <c r="Z28" s="2">
        <v>12.6</v>
      </c>
      <c r="AA28" s="2">
        <v>11.7</v>
      </c>
      <c r="AB28" s="2">
        <v>12.1</v>
      </c>
      <c r="AC28" s="2">
        <v>11.3</v>
      </c>
      <c r="AD28" s="2">
        <v>11.4</v>
      </c>
      <c r="AE28" s="2">
        <v>12.7</v>
      </c>
      <c r="AF28" s="2">
        <v>11.8</v>
      </c>
      <c r="AG28" s="2">
        <v>11.4</v>
      </c>
      <c r="AH28" s="2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</row>
    <row r="29" spans="2:49" ht="14.45" customHeight="1">
      <c r="B29" s="18" t="s">
        <v>31</v>
      </c>
      <c r="C29" s="24">
        <f t="shared" si="18"/>
        <v>9.5</v>
      </c>
      <c r="D29" s="24">
        <f t="shared" si="17"/>
        <v>9.9</v>
      </c>
      <c r="E29" s="24">
        <f t="shared" si="17"/>
        <v>9.4</v>
      </c>
      <c r="F29" s="24">
        <f t="shared" si="17"/>
        <v>9.6</v>
      </c>
      <c r="G29" s="24">
        <f t="shared" si="17"/>
        <v>9.4</v>
      </c>
      <c r="H29" s="24">
        <f t="shared" si="17"/>
        <v>9.5</v>
      </c>
      <c r="I29" s="24">
        <f t="shared" si="17"/>
        <v>9.9</v>
      </c>
      <c r="J29" s="24">
        <f t="shared" si="17"/>
        <v>9.3000000000000007</v>
      </c>
      <c r="K29" s="24">
        <f t="shared" si="17"/>
        <v>9.9</v>
      </c>
      <c r="L29" s="24">
        <f t="shared" si="17"/>
        <v>9.8000000000000007</v>
      </c>
      <c r="M29" s="24">
        <f t="shared" si="17"/>
        <v>9.4</v>
      </c>
      <c r="N29" s="24">
        <f t="shared" si="17"/>
        <v>9.5</v>
      </c>
      <c r="O29" s="24">
        <f t="shared" si="17"/>
        <v>9.6</v>
      </c>
      <c r="P29" s="24">
        <f t="shared" si="17"/>
        <v>9.3000000000000007</v>
      </c>
      <c r="Q29" s="23"/>
      <c r="R29" s="23"/>
      <c r="S29" s="18" t="s">
        <v>31</v>
      </c>
      <c r="T29" s="2">
        <v>9.5</v>
      </c>
      <c r="U29" s="2">
        <v>9.9</v>
      </c>
      <c r="V29" s="2">
        <v>9.4</v>
      </c>
      <c r="W29" s="2">
        <v>9.6</v>
      </c>
      <c r="X29" s="2">
        <v>9.4</v>
      </c>
      <c r="Y29" s="2">
        <v>9.5</v>
      </c>
      <c r="Z29" s="2">
        <v>9.9</v>
      </c>
      <c r="AA29" s="2">
        <v>9.3000000000000007</v>
      </c>
      <c r="AB29" s="2">
        <v>9.9</v>
      </c>
      <c r="AC29" s="2">
        <v>9.8000000000000007</v>
      </c>
      <c r="AD29" s="2">
        <v>9.4</v>
      </c>
      <c r="AE29" s="2">
        <v>9.5</v>
      </c>
      <c r="AF29" s="2">
        <v>9.6</v>
      </c>
      <c r="AG29" s="2">
        <v>9.3000000000000007</v>
      </c>
      <c r="AH29" s="2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</row>
    <row r="30" spans="2:49">
      <c r="B30" s="18" t="s">
        <v>32</v>
      </c>
      <c r="C30" s="24">
        <f t="shared" si="18"/>
        <v>9.4</v>
      </c>
      <c r="D30" s="24">
        <f t="shared" si="17"/>
        <v>9.4</v>
      </c>
      <c r="E30" s="24">
        <f t="shared" si="17"/>
        <v>9.5</v>
      </c>
      <c r="F30" s="24">
        <f t="shared" si="17"/>
        <v>9.4</v>
      </c>
      <c r="G30" s="24">
        <f t="shared" si="17"/>
        <v>9.5</v>
      </c>
      <c r="H30" s="24">
        <f t="shared" si="17"/>
        <v>9.1</v>
      </c>
      <c r="I30" s="24">
        <f t="shared" si="17"/>
        <v>10</v>
      </c>
      <c r="J30" s="24">
        <f t="shared" si="17"/>
        <v>9.1999999999999993</v>
      </c>
      <c r="K30" s="24">
        <f t="shared" si="17"/>
        <v>9.6999999999999993</v>
      </c>
      <c r="L30" s="24">
        <f t="shared" si="17"/>
        <v>9.6999999999999993</v>
      </c>
      <c r="M30" s="24">
        <f t="shared" si="17"/>
        <v>9.1999999999999993</v>
      </c>
      <c r="N30" s="24">
        <f t="shared" si="17"/>
        <v>9</v>
      </c>
      <c r="O30" s="24">
        <f t="shared" si="17"/>
        <v>9.3000000000000007</v>
      </c>
      <c r="P30" s="24">
        <f t="shared" si="17"/>
        <v>9.6999999999999993</v>
      </c>
      <c r="Q30" s="27"/>
      <c r="R30" s="27"/>
      <c r="S30" s="18" t="s">
        <v>32</v>
      </c>
      <c r="T30" s="2">
        <v>9.4</v>
      </c>
      <c r="U30" s="2">
        <v>9.4</v>
      </c>
      <c r="V30" s="2">
        <v>9.5</v>
      </c>
      <c r="W30" s="2">
        <v>9.4</v>
      </c>
      <c r="X30" s="2">
        <v>9.5</v>
      </c>
      <c r="Y30" s="2">
        <v>9.1</v>
      </c>
      <c r="Z30" s="2">
        <v>10</v>
      </c>
      <c r="AA30" s="2">
        <v>9.1999999999999993</v>
      </c>
      <c r="AB30" s="2">
        <v>9.6999999999999993</v>
      </c>
      <c r="AC30" s="2">
        <v>9.6999999999999993</v>
      </c>
      <c r="AD30" s="2">
        <v>9.1999999999999993</v>
      </c>
      <c r="AE30" s="2">
        <v>9</v>
      </c>
      <c r="AF30" s="2">
        <v>9.3000000000000007</v>
      </c>
      <c r="AG30" s="2">
        <v>9.6999999999999993</v>
      </c>
      <c r="AH30" s="2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</row>
    <row r="31" spans="2:49">
      <c r="B31" s="18" t="s">
        <v>33</v>
      </c>
      <c r="C31" s="24">
        <f t="shared" si="18"/>
        <v>9.6999999999999993</v>
      </c>
      <c r="D31" s="24">
        <f t="shared" si="17"/>
        <v>9.8000000000000007</v>
      </c>
      <c r="E31" s="24">
        <f t="shared" si="17"/>
        <v>9.8000000000000007</v>
      </c>
      <c r="F31" s="24">
        <f t="shared" si="17"/>
        <v>9.6</v>
      </c>
      <c r="G31" s="24">
        <f t="shared" si="17"/>
        <v>9.6</v>
      </c>
      <c r="H31" s="24">
        <f t="shared" si="17"/>
        <v>9.8000000000000007</v>
      </c>
      <c r="I31" s="24">
        <f t="shared" si="17"/>
        <v>10.7</v>
      </c>
      <c r="J31" s="24">
        <f t="shared" si="17"/>
        <v>9.5</v>
      </c>
      <c r="K31" s="24">
        <f t="shared" si="17"/>
        <v>10.1</v>
      </c>
      <c r="L31" s="24">
        <f t="shared" si="17"/>
        <v>9.9</v>
      </c>
      <c r="M31" s="24">
        <f t="shared" si="17"/>
        <v>9.6</v>
      </c>
      <c r="N31" s="24">
        <f t="shared" si="17"/>
        <v>10.199999999999999</v>
      </c>
      <c r="O31" s="24">
        <f t="shared" si="17"/>
        <v>9.6</v>
      </c>
      <c r="P31" s="24">
        <f t="shared" si="17"/>
        <v>9.6999999999999993</v>
      </c>
      <c r="Q31" s="27"/>
      <c r="R31" s="27"/>
      <c r="S31" s="18" t="s">
        <v>33</v>
      </c>
      <c r="T31" s="2">
        <v>9.6999999999999993</v>
      </c>
      <c r="U31" s="2">
        <v>9.8000000000000007</v>
      </c>
      <c r="V31" s="2">
        <v>9.8000000000000007</v>
      </c>
      <c r="W31" s="2">
        <v>9.6</v>
      </c>
      <c r="X31" s="2">
        <v>9.6</v>
      </c>
      <c r="Y31" s="2">
        <v>9.8000000000000007</v>
      </c>
      <c r="Z31" s="2">
        <v>10.7</v>
      </c>
      <c r="AA31" s="2">
        <v>9.5</v>
      </c>
      <c r="AB31" s="2">
        <v>10.1</v>
      </c>
      <c r="AC31" s="2">
        <v>9.9</v>
      </c>
      <c r="AD31" s="2">
        <v>9.6</v>
      </c>
      <c r="AE31" s="2">
        <v>10.199999999999999</v>
      </c>
      <c r="AF31" s="2">
        <v>9.6</v>
      </c>
      <c r="AG31" s="2">
        <v>9.6999999999999993</v>
      </c>
      <c r="AH31" s="2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</row>
    <row r="32" spans="2:49">
      <c r="B32" s="18" t="s">
        <v>95</v>
      </c>
      <c r="C32" s="24">
        <f t="shared" si="18"/>
        <v>10.199999999999999</v>
      </c>
      <c r="D32" s="24">
        <f t="shared" si="17"/>
        <v>10.5</v>
      </c>
      <c r="E32" s="24">
        <f t="shared" si="17"/>
        <v>11.1</v>
      </c>
      <c r="F32" s="24">
        <f t="shared" si="17"/>
        <v>10.8</v>
      </c>
      <c r="G32" s="24">
        <f t="shared" si="17"/>
        <v>11.1</v>
      </c>
      <c r="H32" s="24">
        <f t="shared" si="17"/>
        <v>10.3</v>
      </c>
      <c r="I32" s="24">
        <f t="shared" si="17"/>
        <v>10.199999999999999</v>
      </c>
      <c r="J32" s="24">
        <f t="shared" si="17"/>
        <v>11</v>
      </c>
      <c r="K32" s="24">
        <f t="shared" si="17"/>
        <v>10.7</v>
      </c>
      <c r="L32" s="24">
        <f t="shared" si="17"/>
        <v>10.7</v>
      </c>
      <c r="M32" s="24">
        <f t="shared" si="17"/>
        <v>11.3</v>
      </c>
      <c r="N32" s="24">
        <f t="shared" si="17"/>
        <v>10.3</v>
      </c>
      <c r="O32" s="24">
        <f t="shared" si="17"/>
        <v>10.9</v>
      </c>
      <c r="P32" s="24">
        <f t="shared" si="17"/>
        <v>11.3</v>
      </c>
      <c r="Q32" s="27"/>
      <c r="R32" s="27"/>
      <c r="S32" s="18" t="s">
        <v>79</v>
      </c>
      <c r="T32" s="2">
        <v>10.199999999999999</v>
      </c>
      <c r="U32" s="2">
        <v>10.5</v>
      </c>
      <c r="V32" s="2">
        <v>11.1</v>
      </c>
      <c r="W32" s="2">
        <v>10.8</v>
      </c>
      <c r="X32" s="2">
        <v>11.1</v>
      </c>
      <c r="Y32" s="2">
        <v>10.3</v>
      </c>
      <c r="Z32" s="2">
        <v>10.199999999999999</v>
      </c>
      <c r="AA32" s="2">
        <v>11</v>
      </c>
      <c r="AB32" s="2">
        <v>10.7</v>
      </c>
      <c r="AC32" s="2">
        <v>10.7</v>
      </c>
      <c r="AD32" s="2">
        <v>11.3</v>
      </c>
      <c r="AE32" s="2">
        <v>10.3</v>
      </c>
      <c r="AF32" s="2">
        <v>10.9</v>
      </c>
      <c r="AG32" s="2">
        <v>11.3</v>
      </c>
      <c r="AH32" s="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</row>
    <row r="33" spans="2:49">
      <c r="B33" s="18" t="s">
        <v>94</v>
      </c>
      <c r="C33" s="24">
        <f t="shared" si="18"/>
        <v>9.3000000000000007</v>
      </c>
      <c r="D33" s="24">
        <f t="shared" si="17"/>
        <v>9.8000000000000007</v>
      </c>
      <c r="E33" s="24">
        <f t="shared" si="17"/>
        <v>9.6</v>
      </c>
      <c r="F33" s="24">
        <f t="shared" si="17"/>
        <v>9.8000000000000007</v>
      </c>
      <c r="G33" s="24">
        <f t="shared" si="17"/>
        <v>10</v>
      </c>
      <c r="H33" s="24">
        <f t="shared" si="17"/>
        <v>9.1999999999999993</v>
      </c>
      <c r="I33" s="24">
        <f t="shared" si="17"/>
        <v>9.3000000000000007</v>
      </c>
      <c r="J33" s="24">
        <f t="shared" si="17"/>
        <v>9.9</v>
      </c>
      <c r="K33" s="24">
        <f t="shared" si="17"/>
        <v>9.6</v>
      </c>
      <c r="L33" s="24">
        <f t="shared" si="17"/>
        <v>9.9</v>
      </c>
      <c r="M33" s="24">
        <f t="shared" si="17"/>
        <v>9.8000000000000007</v>
      </c>
      <c r="N33" s="24">
        <f t="shared" si="17"/>
        <v>9.3000000000000007</v>
      </c>
      <c r="O33" s="24">
        <f t="shared" si="17"/>
        <v>9.6</v>
      </c>
      <c r="P33" s="24">
        <f t="shared" si="17"/>
        <v>9.9</v>
      </c>
      <c r="Q33" s="27"/>
      <c r="R33" s="27"/>
      <c r="S33" s="18" t="s">
        <v>78</v>
      </c>
      <c r="T33" s="2">
        <v>9.3000000000000007</v>
      </c>
      <c r="U33" s="2">
        <v>9.8000000000000007</v>
      </c>
      <c r="V33" s="2">
        <v>9.6</v>
      </c>
      <c r="W33" s="2">
        <v>9.8000000000000007</v>
      </c>
      <c r="X33" s="2">
        <v>10</v>
      </c>
      <c r="Y33" s="2">
        <v>9.1999999999999993</v>
      </c>
      <c r="Z33" s="2">
        <v>9.3000000000000007</v>
      </c>
      <c r="AA33" s="2">
        <v>9.9</v>
      </c>
      <c r="AB33" s="2">
        <v>9.6</v>
      </c>
      <c r="AC33" s="2">
        <v>9.9</v>
      </c>
      <c r="AD33" s="2">
        <v>9.8000000000000007</v>
      </c>
      <c r="AE33" s="2">
        <v>9.3000000000000007</v>
      </c>
      <c r="AF33" s="2">
        <v>9.6</v>
      </c>
      <c r="AG33" s="2">
        <v>9.9</v>
      </c>
      <c r="AH33" s="2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</row>
    <row r="34" spans="2:49">
      <c r="B34" s="17" t="s">
        <v>91</v>
      </c>
      <c r="C34" s="24">
        <f t="shared" si="18"/>
        <v>9.5</v>
      </c>
      <c r="D34" s="24">
        <f t="shared" si="17"/>
        <v>9.6</v>
      </c>
      <c r="E34" s="24">
        <f t="shared" si="17"/>
        <v>9.6</v>
      </c>
      <c r="F34" s="24">
        <f t="shared" si="17"/>
        <v>9.6999999999999993</v>
      </c>
      <c r="G34" s="24">
        <f t="shared" si="17"/>
        <v>9.6</v>
      </c>
      <c r="H34" s="24">
        <f t="shared" si="17"/>
        <v>9.4</v>
      </c>
      <c r="I34" s="24">
        <f t="shared" si="17"/>
        <v>10.199999999999999</v>
      </c>
      <c r="J34" s="24">
        <f t="shared" si="17"/>
        <v>9.6</v>
      </c>
      <c r="K34" s="24">
        <f t="shared" si="17"/>
        <v>9.6999999999999993</v>
      </c>
      <c r="L34" s="24">
        <f t="shared" si="17"/>
        <v>9.6999999999999993</v>
      </c>
      <c r="M34" s="24">
        <f t="shared" si="17"/>
        <v>9.5</v>
      </c>
      <c r="N34" s="24">
        <f t="shared" si="17"/>
        <v>9.9</v>
      </c>
      <c r="O34" s="24">
        <f t="shared" si="17"/>
        <v>9.6999999999999993</v>
      </c>
      <c r="P34" s="24">
        <f t="shared" si="17"/>
        <v>9.6</v>
      </c>
      <c r="Q34" s="27"/>
      <c r="R34" s="27"/>
      <c r="S34" s="18" t="s">
        <v>83</v>
      </c>
      <c r="T34" s="2">
        <v>9.5</v>
      </c>
      <c r="U34" s="2">
        <v>9.6</v>
      </c>
      <c r="V34" s="2">
        <v>9.6</v>
      </c>
      <c r="W34" s="2">
        <v>9.6999999999999993</v>
      </c>
      <c r="X34" s="2">
        <v>9.6</v>
      </c>
      <c r="Y34" s="2">
        <v>9.4</v>
      </c>
      <c r="Z34" s="2">
        <v>10.199999999999999</v>
      </c>
      <c r="AA34" s="2">
        <v>9.6</v>
      </c>
      <c r="AB34" s="2">
        <v>9.6999999999999993</v>
      </c>
      <c r="AC34" s="2">
        <v>9.6999999999999993</v>
      </c>
      <c r="AD34" s="2">
        <v>9.5</v>
      </c>
      <c r="AE34" s="2">
        <v>9.9</v>
      </c>
      <c r="AF34" s="2">
        <v>9.6999999999999993</v>
      </c>
      <c r="AG34" s="2">
        <v>9.6</v>
      </c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</row>
    <row r="35" spans="2:49">
      <c r="B35" s="17" t="s">
        <v>57</v>
      </c>
      <c r="C35" s="24">
        <f t="shared" si="18"/>
        <v>10.9</v>
      </c>
      <c r="D35" s="24">
        <f t="shared" si="17"/>
        <v>10.7</v>
      </c>
      <c r="E35" s="24">
        <f t="shared" si="17"/>
        <v>11.7</v>
      </c>
      <c r="F35" s="24">
        <f t="shared" si="17"/>
        <v>11.7</v>
      </c>
      <c r="G35" s="24">
        <f t="shared" si="17"/>
        <v>11.7</v>
      </c>
      <c r="H35" s="24">
        <f t="shared" si="17"/>
        <v>11.8</v>
      </c>
      <c r="I35" s="24">
        <f t="shared" si="17"/>
        <v>11</v>
      </c>
      <c r="J35" s="24">
        <f t="shared" si="17"/>
        <v>11.3</v>
      </c>
      <c r="K35" s="24">
        <f t="shared" si="17"/>
        <v>11.6</v>
      </c>
      <c r="L35" s="24">
        <f t="shared" si="17"/>
        <v>10.6</v>
      </c>
      <c r="M35" s="24">
        <f t="shared" si="17"/>
        <v>11.8</v>
      </c>
      <c r="N35" s="24">
        <f t="shared" si="17"/>
        <v>11</v>
      </c>
      <c r="O35" s="24">
        <f t="shared" si="17"/>
        <v>11.6</v>
      </c>
      <c r="P35" s="24">
        <f t="shared" si="17"/>
        <v>11.8</v>
      </c>
      <c r="Q35" s="27"/>
      <c r="R35" s="27"/>
      <c r="S35" s="18" t="s">
        <v>81</v>
      </c>
      <c r="T35" s="2">
        <v>10.9</v>
      </c>
      <c r="U35" s="2">
        <v>10.7</v>
      </c>
      <c r="V35" s="2">
        <v>11.7</v>
      </c>
      <c r="W35" s="2">
        <v>11.7</v>
      </c>
      <c r="X35" s="2">
        <v>11.7</v>
      </c>
      <c r="Y35" s="2">
        <v>11.8</v>
      </c>
      <c r="Z35" s="2">
        <v>11</v>
      </c>
      <c r="AA35" s="2">
        <v>11.3</v>
      </c>
      <c r="AB35" s="2">
        <v>11.6</v>
      </c>
      <c r="AC35" s="2">
        <v>10.6</v>
      </c>
      <c r="AD35" s="2">
        <v>11.8</v>
      </c>
      <c r="AE35" s="2">
        <v>11</v>
      </c>
      <c r="AF35" s="2">
        <v>11.6</v>
      </c>
      <c r="AG35" s="2">
        <v>11.8</v>
      </c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</row>
    <row r="36" spans="2:49">
      <c r="B36" s="18" t="s">
        <v>89</v>
      </c>
      <c r="C36" s="24">
        <f>T36</f>
        <v>9.6</v>
      </c>
      <c r="D36" s="24">
        <f t="shared" si="17"/>
        <v>9.6999999999999993</v>
      </c>
      <c r="E36" s="24">
        <f t="shared" si="17"/>
        <v>9.9</v>
      </c>
      <c r="F36" s="24">
        <f t="shared" si="17"/>
        <v>9.9</v>
      </c>
      <c r="G36" s="24">
        <f t="shared" si="17"/>
        <v>10</v>
      </c>
      <c r="H36" s="24">
        <f t="shared" si="17"/>
        <v>9.8000000000000007</v>
      </c>
      <c r="I36" s="24">
        <f t="shared" si="17"/>
        <v>9.4</v>
      </c>
      <c r="J36" s="24">
        <f t="shared" si="17"/>
        <v>9.8000000000000007</v>
      </c>
      <c r="K36" s="24">
        <f t="shared" si="17"/>
        <v>9.8000000000000007</v>
      </c>
      <c r="L36" s="24">
        <f t="shared" si="17"/>
        <v>9.6</v>
      </c>
      <c r="M36" s="24">
        <f t="shared" si="17"/>
        <v>9.8000000000000007</v>
      </c>
      <c r="N36" s="24">
        <f t="shared" si="17"/>
        <v>9.3000000000000007</v>
      </c>
      <c r="O36" s="24">
        <f t="shared" si="17"/>
        <v>10.1</v>
      </c>
      <c r="P36" s="24">
        <f t="shared" si="17"/>
        <v>9.9</v>
      </c>
      <c r="Q36" s="27"/>
      <c r="R36" s="27"/>
      <c r="S36" s="18" t="s">
        <v>80</v>
      </c>
      <c r="T36" s="2">
        <v>9.6</v>
      </c>
      <c r="U36" s="2">
        <v>9.6999999999999993</v>
      </c>
      <c r="V36" s="2">
        <v>9.9</v>
      </c>
      <c r="W36" s="2">
        <v>9.9</v>
      </c>
      <c r="X36" s="2">
        <v>10</v>
      </c>
      <c r="Y36" s="2">
        <v>9.8000000000000007</v>
      </c>
      <c r="Z36" s="2">
        <v>9.4</v>
      </c>
      <c r="AA36" s="2">
        <v>9.8000000000000007</v>
      </c>
      <c r="AB36" s="2">
        <v>9.8000000000000007</v>
      </c>
      <c r="AC36" s="2">
        <v>9.6</v>
      </c>
      <c r="AD36" s="2">
        <v>9.8000000000000007</v>
      </c>
      <c r="AE36" s="2">
        <v>9.3000000000000007</v>
      </c>
      <c r="AF36" s="2">
        <v>10.1</v>
      </c>
      <c r="AG36" s="2">
        <v>9.9</v>
      </c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</row>
    <row r="37" spans="2:49">
      <c r="B37" s="46" t="s">
        <v>99</v>
      </c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27"/>
      <c r="R37" s="27"/>
      <c r="S37" s="18"/>
      <c r="AG37" s="2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</row>
    <row r="38" spans="2:49">
      <c r="B38" s="17" t="s">
        <v>92</v>
      </c>
      <c r="C38" s="34">
        <f>T38</f>
        <v>9.4</v>
      </c>
      <c r="D38" s="34">
        <f t="shared" ref="D38:P39" si="19">U38</f>
        <v>9.6</v>
      </c>
      <c r="E38" s="34">
        <f t="shared" si="19"/>
        <v>9.6</v>
      </c>
      <c r="F38" s="34">
        <f t="shared" si="19"/>
        <v>9.6999999999999993</v>
      </c>
      <c r="G38" s="34">
        <f t="shared" si="19"/>
        <v>9.4</v>
      </c>
      <c r="H38" s="34">
        <f t="shared" si="19"/>
        <v>9.3000000000000007</v>
      </c>
      <c r="I38" s="34">
        <f t="shared" si="19"/>
        <v>9.8000000000000007</v>
      </c>
      <c r="J38" s="34">
        <f t="shared" si="19"/>
        <v>9.5</v>
      </c>
      <c r="K38" s="34">
        <f t="shared" si="19"/>
        <v>9.5</v>
      </c>
      <c r="L38" s="34">
        <f t="shared" si="19"/>
        <v>9.6999999999999993</v>
      </c>
      <c r="M38" s="34">
        <f t="shared" si="19"/>
        <v>9.4</v>
      </c>
      <c r="N38" s="34">
        <f t="shared" si="19"/>
        <v>10</v>
      </c>
      <c r="O38" s="34">
        <f t="shared" si="19"/>
        <v>9.5</v>
      </c>
      <c r="P38" s="34">
        <f t="shared" si="19"/>
        <v>9.5</v>
      </c>
      <c r="Q38" s="27"/>
      <c r="R38" s="27"/>
      <c r="S38" s="18" t="s">
        <v>84</v>
      </c>
      <c r="T38" s="2">
        <v>9.4</v>
      </c>
      <c r="U38" s="2">
        <v>9.6</v>
      </c>
      <c r="V38" s="2">
        <v>9.6</v>
      </c>
      <c r="W38" s="2">
        <v>9.6999999999999993</v>
      </c>
      <c r="X38" s="2">
        <v>9.4</v>
      </c>
      <c r="Y38" s="2">
        <v>9.3000000000000007</v>
      </c>
      <c r="Z38" s="2">
        <v>9.8000000000000007</v>
      </c>
      <c r="AA38" s="2">
        <v>9.5</v>
      </c>
      <c r="AB38" s="2">
        <v>9.5</v>
      </c>
      <c r="AC38" s="2">
        <v>9.6999999999999993</v>
      </c>
      <c r="AD38" s="2">
        <v>9.4</v>
      </c>
      <c r="AE38" s="2">
        <v>10</v>
      </c>
      <c r="AF38" s="2">
        <v>9.5</v>
      </c>
      <c r="AG38" s="2">
        <v>9.5</v>
      </c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</row>
    <row r="39" spans="2:49">
      <c r="B39" s="17" t="s">
        <v>88</v>
      </c>
      <c r="C39" s="36">
        <f>T39</f>
        <v>9.6999999999999993</v>
      </c>
      <c r="D39" s="36">
        <f t="shared" si="19"/>
        <v>10.3</v>
      </c>
      <c r="E39" s="36">
        <f t="shared" si="19"/>
        <v>9.4</v>
      </c>
      <c r="F39" s="36">
        <f t="shared" si="19"/>
        <v>9.6</v>
      </c>
      <c r="G39" s="36">
        <f t="shared" si="19"/>
        <v>9.6</v>
      </c>
      <c r="H39" s="36">
        <f t="shared" si="19"/>
        <v>10.199999999999999</v>
      </c>
      <c r="I39" s="36">
        <f t="shared" si="19"/>
        <v>9.6999999999999993</v>
      </c>
      <c r="J39" s="36">
        <f t="shared" si="19"/>
        <v>9.8000000000000007</v>
      </c>
      <c r="K39" s="36">
        <f t="shared" si="19"/>
        <v>9.3000000000000007</v>
      </c>
      <c r="L39" s="36">
        <f t="shared" si="19"/>
        <v>9.5</v>
      </c>
      <c r="M39" s="36">
        <f t="shared" si="19"/>
        <v>9.4</v>
      </c>
      <c r="N39" s="36">
        <f t="shared" si="19"/>
        <v>9.5</v>
      </c>
      <c r="O39" s="36">
        <f t="shared" si="19"/>
        <v>9.8000000000000007</v>
      </c>
      <c r="P39" s="36">
        <f t="shared" si="19"/>
        <v>9.3000000000000007</v>
      </c>
      <c r="Q39" s="27"/>
      <c r="R39" s="27"/>
      <c r="S39" s="18" t="s">
        <v>82</v>
      </c>
      <c r="T39" s="2">
        <v>9.6999999999999993</v>
      </c>
      <c r="U39" s="2">
        <v>10.3</v>
      </c>
      <c r="V39" s="2">
        <v>9.4</v>
      </c>
      <c r="W39" s="2">
        <v>9.6</v>
      </c>
      <c r="X39" s="2">
        <v>9.6</v>
      </c>
      <c r="Y39" s="2">
        <v>10.199999999999999</v>
      </c>
      <c r="Z39" s="2">
        <v>9.6999999999999993</v>
      </c>
      <c r="AA39" s="2">
        <v>9.8000000000000007</v>
      </c>
      <c r="AB39" s="2">
        <v>9.3000000000000007</v>
      </c>
      <c r="AC39" s="2">
        <v>9.5</v>
      </c>
      <c r="AD39" s="2">
        <v>9.4</v>
      </c>
      <c r="AE39" s="2">
        <v>9.5</v>
      </c>
      <c r="AF39" s="2">
        <v>9.8000000000000007</v>
      </c>
      <c r="AG39" s="2">
        <v>9.3000000000000007</v>
      </c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</row>
    <row r="40" spans="2:49">
      <c r="B40" s="46" t="s">
        <v>100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27"/>
      <c r="R40" s="27"/>
      <c r="S40" s="18"/>
      <c r="AG40" s="2"/>
      <c r="AH40" s="19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</row>
    <row r="41" spans="2:49">
      <c r="B41" s="18" t="s">
        <v>59</v>
      </c>
      <c r="C41" s="34">
        <f>T41</f>
        <v>8.6</v>
      </c>
      <c r="D41" s="34">
        <f t="shared" ref="D41:P42" si="20">U41</f>
        <v>9.1</v>
      </c>
      <c r="E41" s="34">
        <f t="shared" si="20"/>
        <v>9</v>
      </c>
      <c r="F41" s="34">
        <f t="shared" si="20"/>
        <v>8.8000000000000007</v>
      </c>
      <c r="G41" s="34">
        <f t="shared" si="20"/>
        <v>8.6999999999999993</v>
      </c>
      <c r="H41" s="34">
        <f t="shared" si="20"/>
        <v>8.5</v>
      </c>
      <c r="I41" s="34">
        <f t="shared" si="20"/>
        <v>8.8000000000000007</v>
      </c>
      <c r="J41" s="34">
        <f t="shared" si="20"/>
        <v>8.8000000000000007</v>
      </c>
      <c r="K41" s="34">
        <f t="shared" si="20"/>
        <v>9.1</v>
      </c>
      <c r="L41" s="34">
        <f t="shared" si="20"/>
        <v>9</v>
      </c>
      <c r="M41" s="34">
        <f t="shared" si="20"/>
        <v>8.6999999999999993</v>
      </c>
      <c r="N41" s="34">
        <f t="shared" si="20"/>
        <v>8.8000000000000007</v>
      </c>
      <c r="O41" s="34">
        <f t="shared" si="20"/>
        <v>8.8000000000000007</v>
      </c>
      <c r="P41" s="34">
        <f t="shared" si="20"/>
        <v>9</v>
      </c>
      <c r="Q41" s="27"/>
      <c r="R41" s="27"/>
      <c r="S41" s="18" t="s">
        <v>85</v>
      </c>
      <c r="T41" s="2">
        <v>8.6</v>
      </c>
      <c r="U41" s="2">
        <v>9.1</v>
      </c>
      <c r="V41" s="2">
        <v>9</v>
      </c>
      <c r="W41" s="2">
        <v>8.8000000000000007</v>
      </c>
      <c r="X41" s="2">
        <v>8.6999999999999993</v>
      </c>
      <c r="Y41" s="2">
        <v>8.5</v>
      </c>
      <c r="Z41" s="2">
        <v>8.8000000000000007</v>
      </c>
      <c r="AA41" s="2">
        <v>8.8000000000000007</v>
      </c>
      <c r="AB41" s="2">
        <v>9.1</v>
      </c>
      <c r="AC41" s="2">
        <v>9</v>
      </c>
      <c r="AD41" s="2">
        <v>8.6999999999999993</v>
      </c>
      <c r="AE41" s="2">
        <v>8.8000000000000007</v>
      </c>
      <c r="AF41" s="2">
        <v>8.8000000000000007</v>
      </c>
      <c r="AG41" s="2">
        <v>9</v>
      </c>
      <c r="AH41" s="19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</row>
    <row r="42" spans="2:49" ht="15.75" thickBot="1">
      <c r="B42" s="21" t="s">
        <v>60</v>
      </c>
      <c r="C42" s="35">
        <f>T42</f>
        <v>8.6999999999999993</v>
      </c>
      <c r="D42" s="35">
        <f t="shared" si="20"/>
        <v>9.1</v>
      </c>
      <c r="E42" s="35">
        <f t="shared" si="20"/>
        <v>9.1999999999999993</v>
      </c>
      <c r="F42" s="35">
        <f t="shared" si="20"/>
        <v>8.8000000000000007</v>
      </c>
      <c r="G42" s="35">
        <f t="shared" si="20"/>
        <v>8.6999999999999993</v>
      </c>
      <c r="H42" s="35">
        <f t="shared" si="20"/>
        <v>8.5</v>
      </c>
      <c r="I42" s="35">
        <f t="shared" si="20"/>
        <v>8.9</v>
      </c>
      <c r="J42" s="35">
        <f t="shared" si="20"/>
        <v>8.6999999999999993</v>
      </c>
      <c r="K42" s="35">
        <f t="shared" si="20"/>
        <v>9.1999999999999993</v>
      </c>
      <c r="L42" s="35">
        <f t="shared" si="20"/>
        <v>8.8000000000000007</v>
      </c>
      <c r="M42" s="35">
        <f t="shared" si="20"/>
        <v>8.8000000000000007</v>
      </c>
      <c r="N42" s="35">
        <f t="shared" si="20"/>
        <v>8.6</v>
      </c>
      <c r="O42" s="35">
        <f t="shared" si="20"/>
        <v>9</v>
      </c>
      <c r="P42" s="35">
        <f t="shared" si="20"/>
        <v>9</v>
      </c>
      <c r="Q42" s="27"/>
      <c r="R42" s="27"/>
      <c r="S42" s="18" t="s">
        <v>86</v>
      </c>
      <c r="T42" s="2">
        <v>8.6999999999999993</v>
      </c>
      <c r="U42" s="2">
        <v>9.1</v>
      </c>
      <c r="V42" s="2">
        <v>9.1999999999999993</v>
      </c>
      <c r="W42" s="2">
        <v>8.8000000000000007</v>
      </c>
      <c r="X42" s="2">
        <v>8.6999999999999993</v>
      </c>
      <c r="Y42" s="2">
        <v>8.5</v>
      </c>
      <c r="Z42" s="2">
        <v>8.9</v>
      </c>
      <c r="AA42" s="2">
        <v>8.6999999999999993</v>
      </c>
      <c r="AB42" s="2">
        <v>9.1999999999999993</v>
      </c>
      <c r="AC42" s="2">
        <v>8.8000000000000007</v>
      </c>
      <c r="AD42" s="2">
        <v>8.8000000000000007</v>
      </c>
      <c r="AE42" s="2">
        <v>8.6</v>
      </c>
      <c r="AF42" s="2">
        <v>9</v>
      </c>
      <c r="AG42" s="2">
        <v>9</v>
      </c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</row>
    <row r="43" spans="2:49" ht="15" customHeight="1">
      <c r="B43" s="43" t="s">
        <v>104</v>
      </c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27"/>
      <c r="R43" s="27"/>
      <c r="S43" s="18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</row>
    <row r="44" spans="2:49" ht="14.45" customHeight="1"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27"/>
      <c r="R44" s="27"/>
      <c r="S44" s="18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</row>
    <row r="45" spans="2:49"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27"/>
      <c r="R45" s="27"/>
      <c r="S45" s="18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</row>
    <row r="46" spans="2:49"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27"/>
      <c r="R46" s="27"/>
      <c r="S46" s="18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</row>
    <row r="47" spans="2:49"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27"/>
      <c r="R47" s="27"/>
      <c r="S47" s="18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</row>
    <row r="48" spans="2:49"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27"/>
      <c r="R48" s="27"/>
      <c r="S48" s="1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</row>
    <row r="49" spans="2:49"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27"/>
      <c r="R49" s="27"/>
      <c r="S49" s="18"/>
      <c r="T49" s="2" t="s">
        <v>62</v>
      </c>
      <c r="U49" s="2" t="s">
        <v>63</v>
      </c>
      <c r="V49" s="2" t="s">
        <v>64</v>
      </c>
      <c r="W49" s="2" t="s">
        <v>65</v>
      </c>
      <c r="X49" s="2" t="s">
        <v>66</v>
      </c>
      <c r="Y49" s="2" t="s">
        <v>67</v>
      </c>
      <c r="Z49" s="2" t="s">
        <v>68</v>
      </c>
      <c r="AA49" s="2" t="s">
        <v>69</v>
      </c>
      <c r="AB49" s="2" t="s">
        <v>70</v>
      </c>
      <c r="AC49" s="2" t="s">
        <v>71</v>
      </c>
      <c r="AD49" s="2" t="s">
        <v>72</v>
      </c>
      <c r="AE49" s="2" t="s">
        <v>73</v>
      </c>
      <c r="AF49" s="2" t="s">
        <v>74</v>
      </c>
      <c r="AG49" t="s">
        <v>75</v>
      </c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</row>
    <row r="50" spans="2:49">
      <c r="B50" s="26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18" t="s">
        <v>30</v>
      </c>
      <c r="T50" s="2">
        <v>9.5</v>
      </c>
      <c r="U50" s="2">
        <v>10.4</v>
      </c>
      <c r="V50" s="2">
        <v>9.6999999999999993</v>
      </c>
      <c r="W50" s="2">
        <v>9.6999999999999993</v>
      </c>
      <c r="X50" s="2">
        <v>10.1</v>
      </c>
      <c r="Y50" s="2">
        <v>9.8000000000000007</v>
      </c>
      <c r="Z50" s="2">
        <v>9.5</v>
      </c>
      <c r="AA50" s="2">
        <v>9.6999999999999993</v>
      </c>
      <c r="AB50" s="2">
        <v>9.3000000000000007</v>
      </c>
      <c r="AC50" s="2">
        <v>9.4</v>
      </c>
      <c r="AD50" s="2">
        <v>9.5</v>
      </c>
      <c r="AE50" s="2">
        <v>9.9</v>
      </c>
      <c r="AF50" s="2">
        <v>9.8000000000000007</v>
      </c>
      <c r="AG50">
        <v>9.6</v>
      </c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</row>
    <row r="51" spans="2:49">
      <c r="B51" s="26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18" t="s">
        <v>76</v>
      </c>
      <c r="T51" s="2">
        <v>14.2</v>
      </c>
      <c r="U51" s="2">
        <v>10.3</v>
      </c>
      <c r="V51" s="2">
        <v>11</v>
      </c>
      <c r="W51" s="2">
        <v>10.8</v>
      </c>
      <c r="X51" s="2">
        <v>10.9</v>
      </c>
      <c r="Y51" s="2">
        <v>11.2</v>
      </c>
      <c r="Z51" s="2">
        <v>10.6</v>
      </c>
      <c r="AA51" s="2">
        <v>12</v>
      </c>
      <c r="AB51" s="2">
        <v>10.1</v>
      </c>
      <c r="AC51" s="2">
        <v>12.7</v>
      </c>
      <c r="AD51" s="2">
        <v>12.5</v>
      </c>
      <c r="AE51" s="2">
        <v>12.6</v>
      </c>
      <c r="AF51" s="2">
        <v>11</v>
      </c>
      <c r="AG51">
        <v>11.8</v>
      </c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</row>
    <row r="52" spans="2:49">
      <c r="B52" s="26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18" t="s">
        <v>77</v>
      </c>
      <c r="T52" s="2">
        <v>9.3000000000000007</v>
      </c>
      <c r="U52" s="2">
        <v>8.6999999999999993</v>
      </c>
      <c r="V52" s="2">
        <v>9.6</v>
      </c>
      <c r="W52" s="2">
        <v>9.5</v>
      </c>
      <c r="X52" s="2">
        <v>9.6999999999999993</v>
      </c>
      <c r="Y52" s="2">
        <v>9.9</v>
      </c>
      <c r="Z52" s="2">
        <v>9.3000000000000007</v>
      </c>
      <c r="AA52" s="2">
        <v>9.6999999999999993</v>
      </c>
      <c r="AB52" s="2">
        <v>10.4</v>
      </c>
      <c r="AC52" s="2">
        <v>9.4</v>
      </c>
      <c r="AD52" s="2">
        <v>10</v>
      </c>
      <c r="AE52" s="2">
        <v>9.1</v>
      </c>
      <c r="AF52" s="2">
        <v>9.6999999999999993</v>
      </c>
      <c r="AG52">
        <v>9.6</v>
      </c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</row>
    <row r="53" spans="2:49">
      <c r="B53" s="26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18" t="s">
        <v>29</v>
      </c>
      <c r="T53" s="2">
        <v>12</v>
      </c>
      <c r="U53" s="2">
        <v>12.2</v>
      </c>
      <c r="V53" s="2">
        <v>11.6</v>
      </c>
      <c r="W53" s="2">
        <v>11.8</v>
      </c>
      <c r="X53" s="2">
        <v>11.5</v>
      </c>
      <c r="Y53" s="2">
        <v>12.6</v>
      </c>
      <c r="Z53" s="2">
        <v>12.6</v>
      </c>
      <c r="AA53" s="2">
        <v>11.7</v>
      </c>
      <c r="AB53" s="2">
        <v>12.1</v>
      </c>
      <c r="AC53" s="2">
        <v>11.3</v>
      </c>
      <c r="AD53" s="2">
        <v>11.4</v>
      </c>
      <c r="AE53" s="2">
        <v>12.7</v>
      </c>
      <c r="AF53" s="2">
        <v>11.8</v>
      </c>
      <c r="AG53">
        <v>11.4</v>
      </c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</row>
    <row r="54" spans="2:49">
      <c r="B54" s="26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18" t="s">
        <v>31</v>
      </c>
      <c r="T54" s="2">
        <v>9.5</v>
      </c>
      <c r="U54" s="2">
        <v>9.9</v>
      </c>
      <c r="V54" s="2">
        <v>9.4</v>
      </c>
      <c r="W54" s="2">
        <v>9.6</v>
      </c>
      <c r="X54" s="2">
        <v>9.4</v>
      </c>
      <c r="Y54" s="2">
        <v>9.5</v>
      </c>
      <c r="Z54" s="2">
        <v>9.9</v>
      </c>
      <c r="AA54" s="2">
        <v>9.3000000000000007</v>
      </c>
      <c r="AB54" s="2">
        <v>9.9</v>
      </c>
      <c r="AC54" s="2">
        <v>9.8000000000000007</v>
      </c>
      <c r="AD54" s="2">
        <v>9.4</v>
      </c>
      <c r="AE54" s="2">
        <v>9.5</v>
      </c>
      <c r="AF54" s="2">
        <v>9.6</v>
      </c>
      <c r="AG54">
        <v>9.3000000000000007</v>
      </c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</row>
    <row r="55" spans="2:49">
      <c r="B55" s="26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18" t="s">
        <v>32</v>
      </c>
      <c r="T55" s="2">
        <v>9.4</v>
      </c>
      <c r="U55" s="2">
        <v>9.4</v>
      </c>
      <c r="V55" s="2">
        <v>9.5</v>
      </c>
      <c r="W55" s="2">
        <v>9.4</v>
      </c>
      <c r="X55" s="2">
        <v>9.5</v>
      </c>
      <c r="Y55" s="2">
        <v>9.1</v>
      </c>
      <c r="Z55" s="2">
        <v>10</v>
      </c>
      <c r="AA55" s="2">
        <v>9.1999999999999993</v>
      </c>
      <c r="AB55" s="2">
        <v>9.6999999999999993</v>
      </c>
      <c r="AC55" s="2">
        <v>9.6999999999999993</v>
      </c>
      <c r="AD55" s="2">
        <v>9.1999999999999993</v>
      </c>
      <c r="AE55" s="2">
        <v>9</v>
      </c>
      <c r="AF55" s="2">
        <v>9.3000000000000007</v>
      </c>
      <c r="AG55">
        <v>9.6999999999999993</v>
      </c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</row>
    <row r="56" spans="2:49">
      <c r="B56" s="26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18" t="s">
        <v>33</v>
      </c>
      <c r="T56" s="2">
        <v>9.6999999999999993</v>
      </c>
      <c r="U56" s="2">
        <v>9.8000000000000007</v>
      </c>
      <c r="V56" s="2">
        <v>9.8000000000000007</v>
      </c>
      <c r="W56" s="2">
        <v>9.6</v>
      </c>
      <c r="X56" s="2">
        <v>9.6</v>
      </c>
      <c r="Y56" s="2">
        <v>9.8000000000000007</v>
      </c>
      <c r="Z56" s="2">
        <v>10.7</v>
      </c>
      <c r="AA56" s="2">
        <v>9.5</v>
      </c>
      <c r="AB56" s="2">
        <v>10.1</v>
      </c>
      <c r="AC56" s="2">
        <v>9.9</v>
      </c>
      <c r="AD56" s="2">
        <v>9.6</v>
      </c>
      <c r="AE56" s="2">
        <v>10.199999999999999</v>
      </c>
      <c r="AF56" s="2">
        <v>9.6</v>
      </c>
      <c r="AG56">
        <v>9.6999999999999993</v>
      </c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</row>
    <row r="57" spans="2:49">
      <c r="B57" s="17"/>
      <c r="S57" s="18" t="s">
        <v>79</v>
      </c>
      <c r="T57" s="2">
        <v>10.199999999999999</v>
      </c>
      <c r="U57" s="2">
        <v>10.5</v>
      </c>
      <c r="V57" s="2">
        <v>11.1</v>
      </c>
      <c r="W57" s="2">
        <v>10.8</v>
      </c>
      <c r="X57" s="2">
        <v>11.1</v>
      </c>
      <c r="Y57" s="2">
        <v>10.3</v>
      </c>
      <c r="Z57" s="2">
        <v>10.199999999999999</v>
      </c>
      <c r="AA57" s="2">
        <v>11</v>
      </c>
      <c r="AB57" s="2">
        <v>10.7</v>
      </c>
      <c r="AC57" s="2">
        <v>10.7</v>
      </c>
      <c r="AD57" s="2">
        <v>11.3</v>
      </c>
      <c r="AE57" s="2">
        <v>10.3</v>
      </c>
      <c r="AF57" s="2">
        <v>10.9</v>
      </c>
      <c r="AG57">
        <v>11.3</v>
      </c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</row>
    <row r="58" spans="2:49">
      <c r="B58" s="17"/>
      <c r="S58" s="18" t="s">
        <v>78</v>
      </c>
      <c r="T58" s="2">
        <v>9.3000000000000007</v>
      </c>
      <c r="U58" s="2">
        <v>9.8000000000000007</v>
      </c>
      <c r="V58" s="2">
        <v>9.6</v>
      </c>
      <c r="W58" s="2">
        <v>9.8000000000000007</v>
      </c>
      <c r="X58" s="2">
        <v>10</v>
      </c>
      <c r="Y58" s="2">
        <v>9.1999999999999993</v>
      </c>
      <c r="Z58" s="2">
        <v>9.3000000000000007</v>
      </c>
      <c r="AA58" s="2">
        <v>9.9</v>
      </c>
      <c r="AB58" s="2">
        <v>9.6</v>
      </c>
      <c r="AC58" s="2">
        <v>9.9</v>
      </c>
      <c r="AD58" s="2">
        <v>9.8000000000000007</v>
      </c>
      <c r="AE58" s="2">
        <v>9.3000000000000007</v>
      </c>
      <c r="AF58" s="2">
        <v>9.6</v>
      </c>
      <c r="AG58">
        <v>9.9</v>
      </c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</row>
    <row r="59" spans="2:49">
      <c r="B59" s="17"/>
      <c r="S59" s="18" t="s">
        <v>83</v>
      </c>
      <c r="T59" s="2">
        <v>9.5</v>
      </c>
      <c r="U59" s="2">
        <v>9.6</v>
      </c>
      <c r="V59" s="2">
        <v>9.6</v>
      </c>
      <c r="W59" s="2">
        <v>9.6999999999999993</v>
      </c>
      <c r="X59" s="2">
        <v>9.6</v>
      </c>
      <c r="Y59" s="2">
        <v>9.4</v>
      </c>
      <c r="Z59" s="2">
        <v>10.199999999999999</v>
      </c>
      <c r="AA59" s="2">
        <v>9.6</v>
      </c>
      <c r="AB59" s="2">
        <v>9.6999999999999993</v>
      </c>
      <c r="AC59" s="2">
        <v>9.6999999999999993</v>
      </c>
      <c r="AD59" s="2">
        <v>9.5</v>
      </c>
      <c r="AE59" s="2">
        <v>9.9</v>
      </c>
      <c r="AF59" s="2">
        <v>9.6999999999999993</v>
      </c>
      <c r="AG59">
        <v>9.6</v>
      </c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</row>
    <row r="60" spans="2:49">
      <c r="B60" s="17"/>
      <c r="S60" s="18" t="s">
        <v>81</v>
      </c>
      <c r="T60" s="2">
        <v>10.9</v>
      </c>
      <c r="U60" s="2">
        <v>10.7</v>
      </c>
      <c r="V60" s="2">
        <v>11.7</v>
      </c>
      <c r="W60" s="2">
        <v>11.7</v>
      </c>
      <c r="X60" s="2">
        <v>11.7</v>
      </c>
      <c r="Y60" s="2">
        <v>11.8</v>
      </c>
      <c r="Z60" s="2">
        <v>11</v>
      </c>
      <c r="AA60" s="2">
        <v>11.3</v>
      </c>
      <c r="AB60" s="2">
        <v>11.6</v>
      </c>
      <c r="AC60" s="2">
        <v>10.6</v>
      </c>
      <c r="AD60" s="2">
        <v>11.8</v>
      </c>
      <c r="AE60" s="2">
        <v>11</v>
      </c>
      <c r="AF60" s="2">
        <v>11.6</v>
      </c>
      <c r="AG60">
        <v>11.8</v>
      </c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</row>
    <row r="61" spans="2:49">
      <c r="B61" s="17"/>
      <c r="S61" s="18" t="s">
        <v>80</v>
      </c>
      <c r="T61" s="2">
        <v>9.6</v>
      </c>
      <c r="U61" s="2">
        <v>9.6999999999999993</v>
      </c>
      <c r="V61" s="2">
        <v>9.9</v>
      </c>
      <c r="W61" s="2">
        <v>9.9</v>
      </c>
      <c r="X61" s="2">
        <v>10</v>
      </c>
      <c r="Y61" s="2">
        <v>9.8000000000000007</v>
      </c>
      <c r="Z61" s="2">
        <v>9.4</v>
      </c>
      <c r="AA61" s="2">
        <v>9.8000000000000007</v>
      </c>
      <c r="AB61" s="2">
        <v>9.8000000000000007</v>
      </c>
      <c r="AC61" s="2">
        <v>9.6</v>
      </c>
      <c r="AD61" s="2">
        <v>9.8000000000000007</v>
      </c>
      <c r="AE61" s="2">
        <v>9.3000000000000007</v>
      </c>
      <c r="AF61" s="2">
        <v>10.1</v>
      </c>
      <c r="AG61">
        <v>9.9</v>
      </c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</row>
    <row r="62" spans="2:49">
      <c r="B62" s="17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</row>
    <row r="63" spans="2:49">
      <c r="B63" s="17"/>
      <c r="S63" s="2" t="s">
        <v>84</v>
      </c>
      <c r="T63" s="2">
        <v>9.4</v>
      </c>
      <c r="U63" s="2">
        <v>9.6</v>
      </c>
      <c r="V63" s="2">
        <v>9.6</v>
      </c>
      <c r="W63" s="2">
        <v>9.6999999999999993</v>
      </c>
      <c r="X63" s="2">
        <v>9.4</v>
      </c>
      <c r="Y63" s="2">
        <v>9.3000000000000007</v>
      </c>
      <c r="Z63" s="2">
        <v>9.8000000000000007</v>
      </c>
      <c r="AA63" s="2">
        <v>9.5</v>
      </c>
      <c r="AB63" s="2">
        <v>9.5</v>
      </c>
      <c r="AC63" s="2">
        <v>9.6999999999999993</v>
      </c>
      <c r="AD63" s="2">
        <v>9.4</v>
      </c>
      <c r="AE63" s="2">
        <v>10</v>
      </c>
      <c r="AF63" s="2">
        <v>9.5</v>
      </c>
      <c r="AG63">
        <v>9.5</v>
      </c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</row>
    <row r="64" spans="2:49">
      <c r="S64" s="18" t="s">
        <v>82</v>
      </c>
      <c r="T64" s="2">
        <v>9.6999999999999993</v>
      </c>
      <c r="U64" s="2">
        <v>10.3</v>
      </c>
      <c r="V64" s="2">
        <v>9.4</v>
      </c>
      <c r="W64" s="2">
        <v>9.6</v>
      </c>
      <c r="X64" s="2">
        <v>9.6</v>
      </c>
      <c r="Y64" s="2">
        <v>10.199999999999999</v>
      </c>
      <c r="Z64" s="2">
        <v>9.6999999999999993</v>
      </c>
      <c r="AA64" s="2">
        <v>9.8000000000000007</v>
      </c>
      <c r="AB64" s="2">
        <v>9.3000000000000007</v>
      </c>
      <c r="AC64" s="2">
        <v>9.5</v>
      </c>
      <c r="AD64" s="2">
        <v>9.4</v>
      </c>
      <c r="AE64" s="2">
        <v>9.5</v>
      </c>
      <c r="AF64" s="2">
        <v>9.8000000000000007</v>
      </c>
      <c r="AG64">
        <v>9.3000000000000007</v>
      </c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</row>
    <row r="65" spans="2:49"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</row>
    <row r="66" spans="2:49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 s="18" t="s">
        <v>85</v>
      </c>
      <c r="T66" s="2">
        <v>8.6</v>
      </c>
      <c r="U66" s="2">
        <v>9.1</v>
      </c>
      <c r="V66" s="2">
        <v>9</v>
      </c>
      <c r="W66" s="2">
        <v>8.8000000000000007</v>
      </c>
      <c r="X66" s="2">
        <v>8.6999999999999993</v>
      </c>
      <c r="Y66" s="2">
        <v>8.5</v>
      </c>
      <c r="Z66" s="2">
        <v>8.8000000000000007</v>
      </c>
      <c r="AA66" s="2">
        <v>8.8000000000000007</v>
      </c>
      <c r="AB66" s="2">
        <v>9.1</v>
      </c>
      <c r="AC66" s="2">
        <v>9</v>
      </c>
      <c r="AD66" s="2">
        <v>8.6999999999999993</v>
      </c>
      <c r="AE66" s="2">
        <v>8.8000000000000007</v>
      </c>
      <c r="AF66" s="2">
        <v>8.8000000000000007</v>
      </c>
      <c r="AG66">
        <v>9</v>
      </c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</row>
    <row r="67" spans="2:49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 s="2" t="s">
        <v>86</v>
      </c>
      <c r="T67" s="2">
        <v>8.6999999999999993</v>
      </c>
      <c r="U67" s="2">
        <v>9.1</v>
      </c>
      <c r="V67" s="2">
        <v>9.1999999999999993</v>
      </c>
      <c r="W67" s="2">
        <v>8.8000000000000007</v>
      </c>
      <c r="X67" s="2">
        <v>8.6999999999999993</v>
      </c>
      <c r="Y67" s="2">
        <v>8.5</v>
      </c>
      <c r="Z67" s="2">
        <v>8.9</v>
      </c>
      <c r="AA67" s="2">
        <v>8.6999999999999993</v>
      </c>
      <c r="AB67" s="2">
        <v>9.1999999999999993</v>
      </c>
      <c r="AC67" s="2">
        <v>8.8000000000000007</v>
      </c>
      <c r="AD67" s="2">
        <v>8.8000000000000007</v>
      </c>
      <c r="AE67" s="2">
        <v>8.6</v>
      </c>
      <c r="AF67" s="2">
        <v>9</v>
      </c>
      <c r="AG67">
        <v>9</v>
      </c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</row>
    <row r="70" spans="2:49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</row>
    <row r="71" spans="2:49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</row>
    <row r="73" spans="2:49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</row>
    <row r="74" spans="2:49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</row>
    <row r="76" spans="2:49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</row>
    <row r="77" spans="2:49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</row>
  </sheetData>
  <mergeCells count="8">
    <mergeCell ref="B40:P40"/>
    <mergeCell ref="B43:P48"/>
    <mergeCell ref="B2:P2"/>
    <mergeCell ref="B5:P5"/>
    <mergeCell ref="B18:P18"/>
    <mergeCell ref="B21:P21"/>
    <mergeCell ref="B24:P24"/>
    <mergeCell ref="B37:P3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Y77"/>
  <sheetViews>
    <sheetView zoomScale="85" zoomScaleNormal="85" workbookViewId="0">
      <selection activeCell="S50" sqref="S50:AG67"/>
    </sheetView>
  </sheetViews>
  <sheetFormatPr defaultRowHeight="15"/>
  <cols>
    <col min="1" max="1" width="8.7109375" customWidth="1"/>
    <col min="2" max="2" width="13.140625" style="18" bestFit="1" customWidth="1"/>
    <col min="3" max="3" width="5.7109375" style="2" bestFit="1" customWidth="1"/>
    <col min="4" max="4" width="6.42578125" style="2" bestFit="1" customWidth="1"/>
    <col min="5" max="5" width="5.7109375" style="2" bestFit="1" customWidth="1"/>
    <col min="6" max="6" width="5.85546875" style="2" bestFit="1" customWidth="1"/>
    <col min="7" max="7" width="5.7109375" style="2" bestFit="1" customWidth="1"/>
    <col min="8" max="8" width="6" style="2" bestFit="1" customWidth="1"/>
    <col min="9" max="9" width="5.85546875" style="2" bestFit="1" customWidth="1"/>
    <col min="10" max="10" width="7.42578125" style="2" bestFit="1" customWidth="1"/>
    <col min="11" max="11" width="5.85546875" style="2" bestFit="1" customWidth="1"/>
    <col min="12" max="12" width="5.7109375" style="2" bestFit="1" customWidth="1"/>
    <col min="13" max="13" width="7.85546875" style="2" bestFit="1" customWidth="1"/>
    <col min="14" max="16" width="5.7109375" style="2" bestFit="1" customWidth="1"/>
    <col min="17" max="18" width="7" style="2" customWidth="1"/>
    <col min="19" max="19" width="10.5703125" style="2" bestFit="1" customWidth="1"/>
    <col min="20" max="20" width="5" style="2" bestFit="1" customWidth="1"/>
    <col min="21" max="24" width="6" style="2" bestFit="1" customWidth="1"/>
    <col min="25" max="25" width="7" style="2" bestFit="1" customWidth="1"/>
    <col min="26" max="26" width="6" style="2" bestFit="1" customWidth="1"/>
    <col min="27" max="27" width="6.28515625" style="2" bestFit="1" customWidth="1"/>
    <col min="28" max="28" width="6" style="2" bestFit="1" customWidth="1"/>
    <col min="29" max="29" width="5" style="2" bestFit="1" customWidth="1"/>
    <col min="30" max="30" width="6.28515625" style="2" bestFit="1" customWidth="1"/>
    <col min="31" max="32" width="6" style="2" bestFit="1" customWidth="1"/>
    <col min="33" max="33" width="5" bestFit="1" customWidth="1"/>
    <col min="34" max="34" width="6.28515625" bestFit="1" customWidth="1"/>
    <col min="36" max="36" width="4.140625" style="6" bestFit="1" customWidth="1"/>
    <col min="37" max="37" width="3.85546875" style="6" bestFit="1" customWidth="1"/>
    <col min="38" max="38" width="4" style="6" bestFit="1" customWidth="1"/>
    <col min="39" max="39" width="4.28515625" style="6" bestFit="1" customWidth="1"/>
    <col min="40" max="42" width="4.42578125" style="6" bestFit="1" customWidth="1"/>
    <col min="43" max="43" width="5.85546875" style="6" bestFit="1" customWidth="1"/>
    <col min="44" max="44" width="4.28515625" style="6" bestFit="1" customWidth="1"/>
    <col min="45" max="45" width="3.7109375" style="6" bestFit="1" customWidth="1"/>
    <col min="46" max="46" width="5.85546875" style="6" bestFit="1" customWidth="1"/>
    <col min="47" max="47" width="4.42578125" style="6" bestFit="1" customWidth="1"/>
    <col min="48" max="49" width="4.140625" style="6" bestFit="1" customWidth="1"/>
  </cols>
  <sheetData>
    <row r="2" spans="2:51">
      <c r="B2" s="41" t="s">
        <v>107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</row>
    <row r="4" spans="2:51">
      <c r="B4" s="20"/>
      <c r="C4" s="8" t="s">
        <v>34</v>
      </c>
      <c r="D4" s="8" t="s">
        <v>35</v>
      </c>
      <c r="E4" s="8" t="s">
        <v>36</v>
      </c>
      <c r="F4" s="8" t="s">
        <v>37</v>
      </c>
      <c r="G4" s="8" t="s">
        <v>38</v>
      </c>
      <c r="H4" s="8" t="s">
        <v>39</v>
      </c>
      <c r="I4" s="8" t="s">
        <v>40</v>
      </c>
      <c r="J4" s="8" t="s">
        <v>41</v>
      </c>
      <c r="K4" s="8" t="s">
        <v>42</v>
      </c>
      <c r="L4" s="8" t="s">
        <v>43</v>
      </c>
      <c r="M4" s="8" t="s">
        <v>46</v>
      </c>
      <c r="N4" s="8" t="s">
        <v>44</v>
      </c>
      <c r="O4" s="8" t="s">
        <v>45</v>
      </c>
      <c r="P4" s="8" t="s">
        <v>47</v>
      </c>
      <c r="Q4" s="27"/>
      <c r="R4" s="27"/>
      <c r="S4" s="20" t="s">
        <v>86</v>
      </c>
      <c r="T4" s="8" t="s">
        <v>34</v>
      </c>
      <c r="U4" s="8" t="s">
        <v>35</v>
      </c>
      <c r="V4" s="8" t="s">
        <v>36</v>
      </c>
      <c r="W4" s="8" t="s">
        <v>37</v>
      </c>
      <c r="X4" s="8" t="s">
        <v>38</v>
      </c>
      <c r="Y4" s="8" t="s">
        <v>39</v>
      </c>
      <c r="Z4" s="8" t="s">
        <v>40</v>
      </c>
      <c r="AA4" s="8" t="s">
        <v>41</v>
      </c>
      <c r="AB4" s="8" t="s">
        <v>42</v>
      </c>
      <c r="AC4" s="8" t="s">
        <v>43</v>
      </c>
      <c r="AD4" s="8" t="s">
        <v>46</v>
      </c>
      <c r="AE4" s="8" t="s">
        <v>44</v>
      </c>
      <c r="AF4" s="8" t="s">
        <v>45</v>
      </c>
      <c r="AG4" s="8" t="s">
        <v>47</v>
      </c>
      <c r="AH4" s="2"/>
    </row>
    <row r="5" spans="2:51">
      <c r="B5" s="46" t="s">
        <v>87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25"/>
      <c r="R5" s="25"/>
    </row>
    <row r="6" spans="2:51">
      <c r="B6" s="20" t="s">
        <v>61</v>
      </c>
      <c r="C6" s="22">
        <f>T6</f>
        <v>15.9</v>
      </c>
      <c r="D6" s="22">
        <f t="shared" ref="D6:P6" si="0">U6</f>
        <v>92.7</v>
      </c>
      <c r="E6" s="22">
        <f t="shared" si="0"/>
        <v>49.6</v>
      </c>
      <c r="F6" s="22">
        <f t="shared" si="0"/>
        <v>35.5</v>
      </c>
      <c r="G6" s="22">
        <f t="shared" si="0"/>
        <v>57</v>
      </c>
      <c r="H6" s="22">
        <f t="shared" si="0"/>
        <v>85.7</v>
      </c>
      <c r="I6" s="22">
        <f t="shared" si="0"/>
        <v>49.5</v>
      </c>
      <c r="J6" s="22">
        <f t="shared" si="0"/>
        <v>53.5</v>
      </c>
      <c r="K6" s="22">
        <f t="shared" si="0"/>
        <v>56.4</v>
      </c>
      <c r="L6" s="22">
        <f t="shared" si="0"/>
        <v>17.8</v>
      </c>
      <c r="M6" s="22">
        <f t="shared" si="0"/>
        <v>44.1</v>
      </c>
      <c r="N6" s="22">
        <f t="shared" si="0"/>
        <v>57.4</v>
      </c>
      <c r="O6" s="22">
        <f t="shared" si="0"/>
        <v>33.299999999999997</v>
      </c>
      <c r="P6" s="22">
        <f t="shared" si="0"/>
        <v>41.2</v>
      </c>
      <c r="Q6" s="23"/>
      <c r="R6" s="23"/>
      <c r="S6" s="18" t="s">
        <v>30</v>
      </c>
      <c r="T6" s="2">
        <v>15.9</v>
      </c>
      <c r="U6" s="2">
        <v>92.7</v>
      </c>
      <c r="V6" s="2">
        <v>49.6</v>
      </c>
      <c r="W6" s="2">
        <v>35.5</v>
      </c>
      <c r="X6" s="2">
        <v>57</v>
      </c>
      <c r="Y6" s="2">
        <v>85.7</v>
      </c>
      <c r="Z6" s="2">
        <v>49.5</v>
      </c>
      <c r="AA6" s="2">
        <v>53.5</v>
      </c>
      <c r="AB6" s="2">
        <v>56.4</v>
      </c>
      <c r="AC6" s="2">
        <v>17.8</v>
      </c>
      <c r="AD6" s="2">
        <v>44.1</v>
      </c>
      <c r="AE6" s="2">
        <v>57.4</v>
      </c>
      <c r="AF6" s="2">
        <v>33.299999999999997</v>
      </c>
      <c r="AG6">
        <v>41.2</v>
      </c>
    </row>
    <row r="7" spans="2:51">
      <c r="B7" s="18" t="s">
        <v>48</v>
      </c>
      <c r="C7" s="31">
        <f t="shared" ref="C7:C17" si="1">T7/C$6</f>
        <v>0.79245283018867918</v>
      </c>
      <c r="D7" s="31">
        <f t="shared" ref="D7:D17" si="2">U7/D$6</f>
        <v>0.99137001078748654</v>
      </c>
      <c r="E7" s="31">
        <f t="shared" ref="E7:E17" si="3">V7/E$6</f>
        <v>0.96572580645161288</v>
      </c>
      <c r="F7" s="31">
        <f t="shared" ref="F7:F17" si="4">W7/F$6</f>
        <v>0.83098591549295775</v>
      </c>
      <c r="G7" s="31">
        <f t="shared" ref="G7:G17" si="5">X7/G$6</f>
        <v>0.99122807017543857</v>
      </c>
      <c r="H7" s="31">
        <f t="shared" ref="H7:H17" si="6">Y7/H$6</f>
        <v>0.85764294049008161</v>
      </c>
      <c r="I7" s="31">
        <f t="shared" ref="I7:I17" si="7">Z7/I$6</f>
        <v>0.8606060606060606</v>
      </c>
      <c r="J7" s="31">
        <f t="shared" ref="J7:J17" si="8">AA7/J$6</f>
        <v>1.3364485981308412</v>
      </c>
      <c r="K7" s="31">
        <f t="shared" ref="K7:K17" si="9">AB7/K$6</f>
        <v>0.76063829787234039</v>
      </c>
      <c r="L7" s="31">
        <f t="shared" ref="L7:L17" si="10">AC7/L$6</f>
        <v>1.9719101123595506</v>
      </c>
      <c r="M7" s="31">
        <f t="shared" ref="M7:M17" si="11">AD7/M$6</f>
        <v>1.3492063492063491</v>
      </c>
      <c r="N7" s="31">
        <f t="shared" ref="N7:N17" si="12">AE7/N$6</f>
        <v>1.0487804878048781</v>
      </c>
      <c r="O7" s="31">
        <f t="shared" ref="O7:O17" si="13">AF7/O$6</f>
        <v>0.93393393393393409</v>
      </c>
      <c r="P7" s="31">
        <f t="shared" ref="P7:P17" si="14">AG7/P$6</f>
        <v>1.0218446601941746</v>
      </c>
      <c r="Q7" s="19"/>
      <c r="R7" s="19"/>
      <c r="S7" s="18" t="s">
        <v>48</v>
      </c>
      <c r="T7" s="2">
        <v>12.6</v>
      </c>
      <c r="U7" s="2">
        <v>91.9</v>
      </c>
      <c r="V7" s="2">
        <v>47.9</v>
      </c>
      <c r="W7" s="2">
        <v>29.5</v>
      </c>
      <c r="X7" s="2">
        <v>56.5</v>
      </c>
      <c r="Y7" s="2">
        <v>73.5</v>
      </c>
      <c r="Z7" s="2">
        <v>42.6</v>
      </c>
      <c r="AA7" s="2">
        <v>71.5</v>
      </c>
      <c r="AB7" s="2">
        <v>42.9</v>
      </c>
      <c r="AC7" s="2">
        <v>35.1</v>
      </c>
      <c r="AD7" s="2">
        <v>59.5</v>
      </c>
      <c r="AE7" s="2">
        <v>60.2</v>
      </c>
      <c r="AF7" s="2">
        <v>31.1</v>
      </c>
      <c r="AG7">
        <v>42.1</v>
      </c>
      <c r="AH7" s="2"/>
      <c r="AY7" s="6"/>
    </row>
    <row r="8" spans="2:51">
      <c r="B8" s="18" t="s">
        <v>58</v>
      </c>
      <c r="C8" s="31">
        <f t="shared" si="1"/>
        <v>0.7484276729559749</v>
      </c>
      <c r="D8" s="31">
        <f t="shared" si="2"/>
        <v>0.89104638619201715</v>
      </c>
      <c r="E8" s="31">
        <f t="shared" si="3"/>
        <v>0.90927419354838712</v>
      </c>
      <c r="F8" s="31">
        <f t="shared" si="4"/>
        <v>0.76901408450704223</v>
      </c>
      <c r="G8" s="31">
        <f t="shared" si="5"/>
        <v>0.89649122807017545</v>
      </c>
      <c r="H8" s="31">
        <f t="shared" si="6"/>
        <v>0.77946324387397892</v>
      </c>
      <c r="I8" s="31">
        <f t="shared" si="7"/>
        <v>1.0101010101010102</v>
      </c>
      <c r="J8" s="31">
        <f t="shared" si="8"/>
        <v>0.92523364485981308</v>
      </c>
      <c r="K8" s="31">
        <f t="shared" si="9"/>
        <v>0.73049645390070927</v>
      </c>
      <c r="L8" s="31">
        <f t="shared" si="10"/>
        <v>0.91011235955056169</v>
      </c>
      <c r="M8" s="31">
        <f t="shared" si="11"/>
        <v>0.90022675736961455</v>
      </c>
      <c r="N8" s="31">
        <f t="shared" si="12"/>
        <v>0.96864111498257843</v>
      </c>
      <c r="O8" s="31">
        <f t="shared" si="13"/>
        <v>0.84384384384384392</v>
      </c>
      <c r="P8" s="31">
        <f t="shared" si="14"/>
        <v>0.90291262135922334</v>
      </c>
      <c r="Q8" s="19"/>
      <c r="R8" s="19"/>
      <c r="S8" s="18" t="s">
        <v>58</v>
      </c>
      <c r="T8" s="2">
        <v>11.9</v>
      </c>
      <c r="U8" s="2">
        <v>82.6</v>
      </c>
      <c r="V8" s="2">
        <v>45.1</v>
      </c>
      <c r="W8" s="2">
        <v>27.3</v>
      </c>
      <c r="X8" s="2">
        <v>51.1</v>
      </c>
      <c r="Y8" s="2">
        <v>66.8</v>
      </c>
      <c r="Z8" s="2">
        <v>50</v>
      </c>
      <c r="AA8" s="2">
        <v>49.5</v>
      </c>
      <c r="AB8" s="2">
        <v>41.2</v>
      </c>
      <c r="AC8" s="2">
        <v>16.2</v>
      </c>
      <c r="AD8" s="2">
        <v>39.700000000000003</v>
      </c>
      <c r="AE8" s="2">
        <v>55.6</v>
      </c>
      <c r="AF8" s="2">
        <v>28.1</v>
      </c>
      <c r="AG8">
        <v>37.200000000000003</v>
      </c>
      <c r="AH8" s="2"/>
      <c r="AY8" s="6"/>
    </row>
    <row r="9" spans="2:51">
      <c r="B9" s="18" t="s">
        <v>29</v>
      </c>
      <c r="C9" s="31">
        <f t="shared" si="1"/>
        <v>0.81761006289308169</v>
      </c>
      <c r="D9" s="31">
        <f t="shared" si="2"/>
        <v>1.0204962243797195</v>
      </c>
      <c r="E9" s="31">
        <f t="shared" si="3"/>
        <v>1.0282258064516128</v>
      </c>
      <c r="F9" s="31">
        <f t="shared" si="4"/>
        <v>0.88732394366197187</v>
      </c>
      <c r="G9" s="31">
        <f t="shared" si="5"/>
        <v>1.0263157894736843</v>
      </c>
      <c r="H9" s="31">
        <f t="shared" si="6"/>
        <v>0.87047841306884466</v>
      </c>
      <c r="I9" s="31">
        <f t="shared" si="7"/>
        <v>1.1535353535353536</v>
      </c>
      <c r="J9" s="31">
        <f t="shared" si="8"/>
        <v>0.97943925233644857</v>
      </c>
      <c r="K9" s="31">
        <f t="shared" si="9"/>
        <v>0.90248226950354604</v>
      </c>
      <c r="L9" s="31">
        <f t="shared" si="10"/>
        <v>1.0280898876404494</v>
      </c>
      <c r="M9" s="31">
        <f t="shared" si="11"/>
        <v>0.93197278911564629</v>
      </c>
      <c r="N9" s="31">
        <f t="shared" si="12"/>
        <v>1.1498257839721255</v>
      </c>
      <c r="O9" s="31">
        <f t="shared" si="13"/>
        <v>0.99399399399399413</v>
      </c>
      <c r="P9" s="31">
        <f t="shared" si="14"/>
        <v>1.0218446601941746</v>
      </c>
      <c r="Q9" s="19"/>
      <c r="R9" s="19"/>
      <c r="S9" s="18" t="s">
        <v>29</v>
      </c>
      <c r="T9" s="2">
        <v>13</v>
      </c>
      <c r="U9" s="2">
        <v>94.6</v>
      </c>
      <c r="V9" s="2">
        <v>51</v>
      </c>
      <c r="W9" s="2">
        <v>31.5</v>
      </c>
      <c r="X9" s="2">
        <v>58.5</v>
      </c>
      <c r="Y9" s="2">
        <v>74.599999999999994</v>
      </c>
      <c r="Z9" s="2">
        <v>57.1</v>
      </c>
      <c r="AA9" s="2">
        <v>52.4</v>
      </c>
      <c r="AB9" s="2">
        <v>50.9</v>
      </c>
      <c r="AC9" s="2">
        <v>18.3</v>
      </c>
      <c r="AD9" s="2">
        <v>41.1</v>
      </c>
      <c r="AE9" s="2">
        <v>66</v>
      </c>
      <c r="AF9" s="2">
        <v>33.1</v>
      </c>
      <c r="AG9">
        <v>42.1</v>
      </c>
      <c r="AH9" s="2"/>
      <c r="AY9" s="6"/>
    </row>
    <row r="10" spans="2:51">
      <c r="B10" s="18" t="s">
        <v>31</v>
      </c>
      <c r="C10" s="31">
        <f t="shared" si="1"/>
        <v>0.75471698113207542</v>
      </c>
      <c r="D10" s="31">
        <f t="shared" si="2"/>
        <v>0.87918015102481117</v>
      </c>
      <c r="E10" s="31">
        <f t="shared" si="3"/>
        <v>0.87903225806451613</v>
      </c>
      <c r="F10" s="31">
        <f t="shared" si="4"/>
        <v>1.0394366197183098</v>
      </c>
      <c r="G10" s="31">
        <f t="shared" si="5"/>
        <v>1.0701754385964912</v>
      </c>
      <c r="H10" s="31">
        <f t="shared" si="6"/>
        <v>1.1470245040840139</v>
      </c>
      <c r="I10" s="31">
        <f t="shared" si="7"/>
        <v>1.0666666666666667</v>
      </c>
      <c r="J10" s="31">
        <f t="shared" si="8"/>
        <v>0.9457943925233645</v>
      </c>
      <c r="K10" s="31">
        <f t="shared" si="9"/>
        <v>1.0478723404255319</v>
      </c>
      <c r="L10" s="31">
        <f t="shared" si="10"/>
        <v>1.1292134831460674</v>
      </c>
      <c r="M10" s="31">
        <f t="shared" si="11"/>
        <v>0.97052154195011331</v>
      </c>
      <c r="N10" s="31">
        <f t="shared" si="12"/>
        <v>0.76480836236933802</v>
      </c>
      <c r="O10" s="31">
        <f t="shared" si="13"/>
        <v>1.1201201201201201</v>
      </c>
      <c r="P10" s="31">
        <f t="shared" si="14"/>
        <v>1.087378640776699</v>
      </c>
      <c r="Q10" s="19"/>
      <c r="R10" s="19"/>
      <c r="S10" s="18" t="s">
        <v>31</v>
      </c>
      <c r="T10" s="2">
        <v>12</v>
      </c>
      <c r="U10" s="2">
        <v>81.5</v>
      </c>
      <c r="V10" s="2">
        <v>43.6</v>
      </c>
      <c r="W10" s="2">
        <v>36.9</v>
      </c>
      <c r="X10" s="2">
        <v>61</v>
      </c>
      <c r="Y10" s="2">
        <v>98.3</v>
      </c>
      <c r="Z10" s="2">
        <v>52.8</v>
      </c>
      <c r="AA10" s="2">
        <v>50.6</v>
      </c>
      <c r="AB10" s="2">
        <v>59.1</v>
      </c>
      <c r="AC10" s="2">
        <v>20.100000000000001</v>
      </c>
      <c r="AD10" s="2">
        <v>42.8</v>
      </c>
      <c r="AE10" s="2">
        <v>43.9</v>
      </c>
      <c r="AF10" s="2">
        <v>37.299999999999997</v>
      </c>
      <c r="AG10">
        <v>44.8</v>
      </c>
      <c r="AH10" s="2"/>
      <c r="AY10" s="6"/>
    </row>
    <row r="11" spans="2:51">
      <c r="B11" s="18" t="s">
        <v>32</v>
      </c>
      <c r="C11" s="31">
        <f t="shared" si="1"/>
        <v>0.76729559748427667</v>
      </c>
      <c r="D11" s="31">
        <f t="shared" si="2"/>
        <v>1.0323624595469256</v>
      </c>
      <c r="E11" s="31">
        <f t="shared" si="3"/>
        <v>0.89717741935483863</v>
      </c>
      <c r="F11" s="31">
        <f t="shared" si="4"/>
        <v>1.0366197183098591</v>
      </c>
      <c r="G11" s="31">
        <f t="shared" si="5"/>
        <v>1.0280701754385966</v>
      </c>
      <c r="H11" s="31">
        <f t="shared" si="6"/>
        <v>1.2298716452742124</v>
      </c>
      <c r="I11" s="31">
        <f t="shared" si="7"/>
        <v>0.9878787878787878</v>
      </c>
      <c r="J11" s="31">
        <f t="shared" si="8"/>
        <v>0.98317757009345796</v>
      </c>
      <c r="K11" s="31">
        <f t="shared" si="9"/>
        <v>1.3226950354609928</v>
      </c>
      <c r="L11" s="31">
        <f t="shared" si="10"/>
        <v>1.151685393258427</v>
      </c>
      <c r="M11" s="31">
        <f t="shared" si="11"/>
        <v>0.92970521541950113</v>
      </c>
      <c r="N11" s="31">
        <f t="shared" si="12"/>
        <v>0.82578397212543553</v>
      </c>
      <c r="O11" s="31">
        <f t="shared" si="13"/>
        <v>1.1981981981981982</v>
      </c>
      <c r="P11" s="31">
        <f t="shared" si="14"/>
        <v>1.0339805825242718</v>
      </c>
      <c r="Q11" s="19"/>
      <c r="R11" s="19"/>
      <c r="S11" s="18" t="s">
        <v>32</v>
      </c>
      <c r="T11" s="2">
        <v>12.2</v>
      </c>
      <c r="U11" s="2">
        <v>95.7</v>
      </c>
      <c r="V11" s="2">
        <v>44.5</v>
      </c>
      <c r="W11" s="2">
        <v>36.799999999999997</v>
      </c>
      <c r="X11" s="2">
        <v>58.6</v>
      </c>
      <c r="Y11" s="2">
        <v>105.4</v>
      </c>
      <c r="Z11" s="2">
        <v>48.9</v>
      </c>
      <c r="AA11" s="2">
        <v>52.6</v>
      </c>
      <c r="AB11" s="2">
        <v>74.599999999999994</v>
      </c>
      <c r="AC11" s="2">
        <v>20.5</v>
      </c>
      <c r="AD11" s="2">
        <v>41</v>
      </c>
      <c r="AE11" s="2">
        <v>47.4</v>
      </c>
      <c r="AF11" s="2">
        <v>39.9</v>
      </c>
      <c r="AG11">
        <v>42.6</v>
      </c>
      <c r="AH11" s="2"/>
      <c r="AY11" s="6"/>
    </row>
    <row r="12" spans="2:51">
      <c r="B12" s="18" t="s">
        <v>33</v>
      </c>
      <c r="C12" s="31">
        <f t="shared" si="1"/>
        <v>0.78616352201257855</v>
      </c>
      <c r="D12" s="31">
        <f t="shared" si="2"/>
        <v>0.86192017259978426</v>
      </c>
      <c r="E12" s="31">
        <f t="shared" si="3"/>
        <v>0.94354838709677413</v>
      </c>
      <c r="F12" s="31">
        <f t="shared" si="4"/>
        <v>1.0140845070422535</v>
      </c>
      <c r="G12" s="31">
        <f t="shared" si="5"/>
        <v>1.0771929824561404</v>
      </c>
      <c r="H12" s="31">
        <f t="shared" si="6"/>
        <v>1.2532088681446909</v>
      </c>
      <c r="I12" s="31">
        <f t="shared" si="7"/>
        <v>1.2101010101010101</v>
      </c>
      <c r="J12" s="31">
        <f t="shared" si="8"/>
        <v>0.93457943925233644</v>
      </c>
      <c r="K12" s="31">
        <f t="shared" si="9"/>
        <v>1.1312056737588652</v>
      </c>
      <c r="L12" s="31">
        <f t="shared" si="10"/>
        <v>1.1067415730337078</v>
      </c>
      <c r="M12" s="31">
        <f t="shared" si="11"/>
        <v>1.0226757369614512</v>
      </c>
      <c r="N12" s="31">
        <f t="shared" si="12"/>
        <v>0.79442508710801396</v>
      </c>
      <c r="O12" s="31">
        <f t="shared" si="13"/>
        <v>1.2402402402402402</v>
      </c>
      <c r="P12" s="31">
        <f t="shared" si="14"/>
        <v>1.0800970873786406</v>
      </c>
      <c r="Q12" s="19"/>
      <c r="R12" s="19"/>
      <c r="S12" s="18" t="s">
        <v>33</v>
      </c>
      <c r="T12" s="2">
        <v>12.5</v>
      </c>
      <c r="U12" s="2">
        <v>79.900000000000006</v>
      </c>
      <c r="V12" s="2">
        <v>46.8</v>
      </c>
      <c r="W12" s="2">
        <v>36</v>
      </c>
      <c r="X12" s="2">
        <v>61.4</v>
      </c>
      <c r="Y12" s="2">
        <v>107.4</v>
      </c>
      <c r="Z12" s="2">
        <v>59.9</v>
      </c>
      <c r="AA12" s="2">
        <v>50</v>
      </c>
      <c r="AB12" s="2">
        <v>63.8</v>
      </c>
      <c r="AC12" s="2">
        <v>19.7</v>
      </c>
      <c r="AD12" s="2">
        <v>45.1</v>
      </c>
      <c r="AE12" s="2">
        <v>45.6</v>
      </c>
      <c r="AF12" s="2">
        <v>41.3</v>
      </c>
      <c r="AG12">
        <v>44.5</v>
      </c>
      <c r="AH12" s="2"/>
      <c r="AY12" s="6"/>
    </row>
    <row r="13" spans="2:51">
      <c r="B13" s="18" t="s">
        <v>95</v>
      </c>
      <c r="C13" s="31">
        <f t="shared" si="1"/>
        <v>0.9559748427672955</v>
      </c>
      <c r="D13" s="31">
        <f t="shared" si="2"/>
        <v>1.1413160733549081</v>
      </c>
      <c r="E13" s="31">
        <f t="shared" si="3"/>
        <v>1.219758064516129</v>
      </c>
      <c r="F13" s="31">
        <f t="shared" si="4"/>
        <v>1.0647887323943661</v>
      </c>
      <c r="G13" s="31">
        <f t="shared" si="5"/>
        <v>1.2807017543859649</v>
      </c>
      <c r="H13" s="31">
        <f t="shared" si="6"/>
        <v>1.043173862310385</v>
      </c>
      <c r="I13" s="31">
        <f t="shared" si="7"/>
        <v>1.2121212121212122</v>
      </c>
      <c r="J13" s="31">
        <f t="shared" si="8"/>
        <v>1.377570093457944</v>
      </c>
      <c r="K13" s="31">
        <f t="shared" si="9"/>
        <v>1.1294326241134753</v>
      </c>
      <c r="L13" s="31">
        <f t="shared" si="10"/>
        <v>1.3258426966292136</v>
      </c>
      <c r="M13" s="31">
        <f t="shared" si="11"/>
        <v>1.4172335600907029</v>
      </c>
      <c r="N13" s="31">
        <f t="shared" si="12"/>
        <v>1.0574912891986064</v>
      </c>
      <c r="O13" s="31">
        <f t="shared" si="13"/>
        <v>1.2252252252252251</v>
      </c>
      <c r="P13" s="31">
        <f t="shared" si="14"/>
        <v>1.2475728155339805</v>
      </c>
      <c r="Q13" s="19"/>
      <c r="R13" s="19"/>
      <c r="S13" s="18" t="s">
        <v>95</v>
      </c>
      <c r="T13" s="2">
        <v>15.2</v>
      </c>
      <c r="U13" s="2">
        <v>105.8</v>
      </c>
      <c r="V13" s="2">
        <v>60.5</v>
      </c>
      <c r="W13" s="2">
        <v>37.799999999999997</v>
      </c>
      <c r="X13" s="2">
        <v>73</v>
      </c>
      <c r="Y13" s="2">
        <v>89.4</v>
      </c>
      <c r="Z13" s="2">
        <v>60</v>
      </c>
      <c r="AA13" s="2">
        <v>73.7</v>
      </c>
      <c r="AB13" s="2">
        <v>63.7</v>
      </c>
      <c r="AC13" s="2">
        <v>23.6</v>
      </c>
      <c r="AD13" s="2">
        <v>62.5</v>
      </c>
      <c r="AE13" s="2">
        <v>60.7</v>
      </c>
      <c r="AF13" s="2">
        <v>40.799999999999997</v>
      </c>
      <c r="AG13">
        <v>51.4</v>
      </c>
      <c r="AH13" s="2"/>
      <c r="AY13" s="6"/>
    </row>
    <row r="14" spans="2:51">
      <c r="B14" s="18" t="s">
        <v>94</v>
      </c>
      <c r="C14" s="31">
        <f t="shared" si="1"/>
        <v>0.86163522012578608</v>
      </c>
      <c r="D14" s="31">
        <f t="shared" si="2"/>
        <v>1.0614886731391586</v>
      </c>
      <c r="E14" s="31">
        <f t="shared" si="3"/>
        <v>1.060483870967742</v>
      </c>
      <c r="F14" s="31">
        <f t="shared" si="4"/>
        <v>0.95211267605633798</v>
      </c>
      <c r="G14" s="31">
        <f t="shared" si="5"/>
        <v>1.1087719298245615</v>
      </c>
      <c r="H14" s="31">
        <f t="shared" si="6"/>
        <v>0.96616102683780625</v>
      </c>
      <c r="I14" s="31">
        <f t="shared" si="7"/>
        <v>0.88282828282828285</v>
      </c>
      <c r="J14" s="31">
        <f t="shared" si="8"/>
        <v>1.2</v>
      </c>
      <c r="K14" s="31">
        <f t="shared" si="9"/>
        <v>0.89007092198581572</v>
      </c>
      <c r="L14" s="31">
        <f t="shared" si="10"/>
        <v>1.151685393258427</v>
      </c>
      <c r="M14" s="31">
        <f t="shared" si="11"/>
        <v>1.1791383219954648</v>
      </c>
      <c r="N14" s="31">
        <f t="shared" si="12"/>
        <v>0.96341463414634143</v>
      </c>
      <c r="O14" s="31">
        <f t="shared" si="13"/>
        <v>1.1081081081081081</v>
      </c>
      <c r="P14" s="31">
        <f t="shared" si="14"/>
        <v>1.1092233009708738</v>
      </c>
      <c r="Q14" s="28"/>
      <c r="R14" s="28"/>
      <c r="S14" s="18" t="s">
        <v>96</v>
      </c>
      <c r="T14" s="2">
        <v>13.7</v>
      </c>
      <c r="U14" s="2">
        <v>98.4</v>
      </c>
      <c r="V14" s="2">
        <v>52.6</v>
      </c>
      <c r="W14" s="2">
        <v>33.799999999999997</v>
      </c>
      <c r="X14" s="2">
        <v>63.2</v>
      </c>
      <c r="Y14" s="2">
        <v>82.8</v>
      </c>
      <c r="Z14" s="2">
        <v>43.7</v>
      </c>
      <c r="AA14" s="2">
        <v>64.2</v>
      </c>
      <c r="AB14" s="2">
        <v>50.2</v>
      </c>
      <c r="AC14" s="2">
        <v>20.5</v>
      </c>
      <c r="AD14" s="2">
        <v>52</v>
      </c>
      <c r="AE14" s="2">
        <v>55.3</v>
      </c>
      <c r="AF14" s="2">
        <v>36.9</v>
      </c>
      <c r="AG14">
        <v>45.7</v>
      </c>
    </row>
    <row r="15" spans="2:51">
      <c r="B15" s="17" t="s">
        <v>91</v>
      </c>
      <c r="C15" s="31">
        <f t="shared" si="1"/>
        <v>1.3333333333333333</v>
      </c>
      <c r="D15" s="31">
        <f t="shared" si="2"/>
        <v>1.0010787486515642</v>
      </c>
      <c r="E15" s="31">
        <f t="shared" si="3"/>
        <v>1.3870967741935483</v>
      </c>
      <c r="F15" s="31">
        <f t="shared" si="4"/>
        <v>1.295774647887324</v>
      </c>
      <c r="G15" s="31">
        <f t="shared" si="5"/>
        <v>1.4263157894736842</v>
      </c>
      <c r="H15" s="31">
        <f t="shared" si="6"/>
        <v>1.6219369894982496</v>
      </c>
      <c r="I15" s="31">
        <f t="shared" si="7"/>
        <v>1.0909090909090908</v>
      </c>
      <c r="J15" s="31">
        <f t="shared" si="8"/>
        <v>1.2822429906542054</v>
      </c>
      <c r="K15" s="31">
        <f t="shared" si="9"/>
        <v>1.4078014184397165</v>
      </c>
      <c r="L15" s="31">
        <f t="shared" si="10"/>
        <v>1.3146067415730336</v>
      </c>
      <c r="M15" s="31">
        <f t="shared" si="11"/>
        <v>1.4263038548752833</v>
      </c>
      <c r="N15" s="31">
        <f t="shared" si="12"/>
        <v>0.93031358885017423</v>
      </c>
      <c r="O15" s="31">
        <f t="shared" si="13"/>
        <v>1.3813813813813816</v>
      </c>
      <c r="P15" s="31">
        <f t="shared" si="14"/>
        <v>1.4199029126213591</v>
      </c>
      <c r="Q15" s="19"/>
      <c r="R15" s="19"/>
      <c r="S15" s="18" t="s">
        <v>91</v>
      </c>
      <c r="T15" s="2">
        <v>21.2</v>
      </c>
      <c r="U15" s="2">
        <v>92.8</v>
      </c>
      <c r="V15" s="2">
        <v>68.8</v>
      </c>
      <c r="W15" s="2">
        <v>46</v>
      </c>
      <c r="X15" s="2">
        <v>81.3</v>
      </c>
      <c r="Y15" s="2">
        <v>139</v>
      </c>
      <c r="Z15" s="2">
        <v>54</v>
      </c>
      <c r="AA15" s="2">
        <v>68.599999999999994</v>
      </c>
      <c r="AB15" s="2">
        <v>79.400000000000006</v>
      </c>
      <c r="AC15" s="2">
        <v>23.4</v>
      </c>
      <c r="AD15" s="2">
        <v>62.9</v>
      </c>
      <c r="AE15" s="2">
        <v>53.4</v>
      </c>
      <c r="AF15" s="2">
        <v>46</v>
      </c>
      <c r="AG15">
        <v>58.5</v>
      </c>
    </row>
    <row r="16" spans="2:51">
      <c r="B16" s="17" t="s">
        <v>57</v>
      </c>
      <c r="C16" s="31">
        <f t="shared" si="1"/>
        <v>0.86163522012578608</v>
      </c>
      <c r="D16" s="31">
        <f t="shared" si="2"/>
        <v>1.029126213592233</v>
      </c>
      <c r="E16" s="31">
        <f t="shared" si="3"/>
        <v>1.092741935483871</v>
      </c>
      <c r="F16" s="31">
        <f t="shared" si="4"/>
        <v>0.96338028169014089</v>
      </c>
      <c r="G16" s="31">
        <f t="shared" si="5"/>
        <v>1.1614035087719299</v>
      </c>
      <c r="H16" s="31">
        <f t="shared" si="6"/>
        <v>0.95915985997666275</v>
      </c>
      <c r="I16" s="31">
        <f t="shared" si="7"/>
        <v>1.0808080808080809</v>
      </c>
      <c r="J16" s="31">
        <f t="shared" si="8"/>
        <v>1.2280373831775702</v>
      </c>
      <c r="K16" s="31">
        <f t="shared" si="9"/>
        <v>1.051418439716312</v>
      </c>
      <c r="L16" s="31">
        <f t="shared" si="10"/>
        <v>1.1741573033707864</v>
      </c>
      <c r="M16" s="31">
        <f t="shared" si="11"/>
        <v>1.3106575963718821</v>
      </c>
      <c r="N16" s="31">
        <f t="shared" si="12"/>
        <v>0.96515679442508706</v>
      </c>
      <c r="O16" s="31">
        <f t="shared" si="13"/>
        <v>1.0960960960960962</v>
      </c>
      <c r="P16" s="31">
        <f t="shared" si="14"/>
        <v>1.128640776699029</v>
      </c>
      <c r="Q16" s="19"/>
      <c r="R16" s="19"/>
      <c r="S16" s="18" t="s">
        <v>57</v>
      </c>
      <c r="T16" s="2">
        <v>13.7</v>
      </c>
      <c r="U16" s="2">
        <v>95.4</v>
      </c>
      <c r="V16" s="2">
        <v>54.2</v>
      </c>
      <c r="W16" s="2">
        <v>34.200000000000003</v>
      </c>
      <c r="X16" s="2">
        <v>66.2</v>
      </c>
      <c r="Y16" s="2">
        <v>82.2</v>
      </c>
      <c r="Z16" s="2">
        <v>53.5</v>
      </c>
      <c r="AA16" s="2">
        <v>65.7</v>
      </c>
      <c r="AB16" s="2">
        <v>59.3</v>
      </c>
      <c r="AC16" s="2">
        <v>20.9</v>
      </c>
      <c r="AD16" s="2">
        <v>57.8</v>
      </c>
      <c r="AE16" s="2">
        <v>55.4</v>
      </c>
      <c r="AF16" s="2">
        <v>36.5</v>
      </c>
      <c r="AG16">
        <v>46.5</v>
      </c>
    </row>
    <row r="17" spans="2:49">
      <c r="B17" s="18" t="s">
        <v>89</v>
      </c>
      <c r="C17" s="31">
        <f t="shared" si="1"/>
        <v>0.78616352201257855</v>
      </c>
      <c r="D17" s="31">
        <f t="shared" si="2"/>
        <v>0.96116504854368923</v>
      </c>
      <c r="E17" s="31">
        <f t="shared" si="3"/>
        <v>0.96572580645161288</v>
      </c>
      <c r="F17" s="31">
        <f t="shared" si="4"/>
        <v>0.87887323943661966</v>
      </c>
      <c r="G17" s="31">
        <f t="shared" si="5"/>
        <v>1.0385964912280703</v>
      </c>
      <c r="H17" s="31">
        <f t="shared" si="6"/>
        <v>0.91948658109684944</v>
      </c>
      <c r="I17" s="31">
        <f t="shared" si="7"/>
        <v>0.8727272727272728</v>
      </c>
      <c r="J17" s="31">
        <f t="shared" si="8"/>
        <v>1.1196261682242989</v>
      </c>
      <c r="K17" s="31">
        <f t="shared" si="9"/>
        <v>0.89539007092198586</v>
      </c>
      <c r="L17" s="31">
        <f t="shared" si="10"/>
        <v>1.0786516853932584</v>
      </c>
      <c r="M17" s="31">
        <f t="shared" si="11"/>
        <v>1.1405895691609977</v>
      </c>
      <c r="N17" s="31">
        <f t="shared" si="12"/>
        <v>0.88850174216027877</v>
      </c>
      <c r="O17" s="31">
        <f t="shared" si="13"/>
        <v>1.0270270270270272</v>
      </c>
      <c r="P17" s="31">
        <f t="shared" si="14"/>
        <v>1.0145631067961163</v>
      </c>
      <c r="Q17" s="19"/>
      <c r="R17" s="19"/>
      <c r="S17" s="18" t="s">
        <v>97</v>
      </c>
      <c r="T17" s="2">
        <v>12.5</v>
      </c>
      <c r="U17" s="2">
        <v>89.1</v>
      </c>
      <c r="V17" s="2">
        <v>47.9</v>
      </c>
      <c r="W17" s="2">
        <v>31.2</v>
      </c>
      <c r="X17" s="2">
        <v>59.2</v>
      </c>
      <c r="Y17" s="2">
        <v>78.8</v>
      </c>
      <c r="Z17" s="2">
        <v>43.2</v>
      </c>
      <c r="AA17" s="2">
        <v>59.9</v>
      </c>
      <c r="AB17" s="2">
        <v>50.5</v>
      </c>
      <c r="AC17" s="2">
        <v>19.2</v>
      </c>
      <c r="AD17" s="2">
        <v>50.3</v>
      </c>
      <c r="AE17" s="2">
        <v>51</v>
      </c>
      <c r="AF17" s="2">
        <v>34.200000000000003</v>
      </c>
      <c r="AG17">
        <v>41.8</v>
      </c>
    </row>
    <row r="18" spans="2:49">
      <c r="B18" s="46" t="s">
        <v>93</v>
      </c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25"/>
      <c r="R18" s="25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</row>
    <row r="19" spans="2:49">
      <c r="B19" s="17" t="s">
        <v>92</v>
      </c>
      <c r="C19" s="32">
        <f t="shared" ref="C19:P20" si="15">T19/C$6</f>
        <v>1.371069182389937</v>
      </c>
      <c r="D19" s="32">
        <f t="shared" si="15"/>
        <v>1.0302049622437972</v>
      </c>
      <c r="E19" s="32">
        <f t="shared" si="15"/>
        <v>1.4516129032258065</v>
      </c>
      <c r="F19" s="32">
        <f t="shared" si="15"/>
        <v>1.3323943661971831</v>
      </c>
      <c r="G19" s="32">
        <f t="shared" si="15"/>
        <v>1.4947368421052631</v>
      </c>
      <c r="H19" s="32">
        <f t="shared" si="15"/>
        <v>1.6487747957993</v>
      </c>
      <c r="I19" s="32">
        <f t="shared" si="15"/>
        <v>1.1131313131313132</v>
      </c>
      <c r="J19" s="32">
        <f t="shared" si="15"/>
        <v>1.3233644859813083</v>
      </c>
      <c r="K19" s="32">
        <f t="shared" si="15"/>
        <v>1.4237588652482269</v>
      </c>
      <c r="L19" s="32">
        <f t="shared" si="15"/>
        <v>1.3258426966292136</v>
      </c>
      <c r="M19" s="32">
        <f t="shared" si="15"/>
        <v>1.4761904761904761</v>
      </c>
      <c r="N19" s="32">
        <f t="shared" si="15"/>
        <v>0.93205574912891986</v>
      </c>
      <c r="O19" s="32">
        <f t="shared" si="15"/>
        <v>1.3843843843843846</v>
      </c>
      <c r="P19" s="32">
        <f t="shared" si="15"/>
        <v>1.4635922330097086</v>
      </c>
      <c r="Q19" s="29"/>
      <c r="R19" s="29"/>
      <c r="S19" s="18" t="s">
        <v>92</v>
      </c>
      <c r="T19" s="2">
        <v>21.8</v>
      </c>
      <c r="U19" s="2">
        <v>95.5</v>
      </c>
      <c r="V19" s="2">
        <v>72</v>
      </c>
      <c r="W19" s="2">
        <v>47.3</v>
      </c>
      <c r="X19" s="2">
        <v>85.2</v>
      </c>
      <c r="Y19" s="2">
        <v>141.30000000000001</v>
      </c>
      <c r="Z19" s="2">
        <v>55.1</v>
      </c>
      <c r="AA19" s="2">
        <v>70.8</v>
      </c>
      <c r="AB19" s="2">
        <v>80.3</v>
      </c>
      <c r="AC19" s="2">
        <v>23.6</v>
      </c>
      <c r="AD19" s="2">
        <v>65.099999999999994</v>
      </c>
      <c r="AE19" s="2">
        <v>53.5</v>
      </c>
      <c r="AF19" s="2">
        <v>46.1</v>
      </c>
      <c r="AG19">
        <v>60.3</v>
      </c>
      <c r="AH19" s="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</row>
    <row r="20" spans="2:49">
      <c r="B20" s="17" t="s">
        <v>88</v>
      </c>
      <c r="C20" s="33">
        <f t="shared" si="15"/>
        <v>0.77358490566037741</v>
      </c>
      <c r="D20" s="33">
        <f t="shared" si="15"/>
        <v>1.1057173678532901</v>
      </c>
      <c r="E20" s="33">
        <f t="shared" si="15"/>
        <v>1.1028225806451613</v>
      </c>
      <c r="F20" s="33">
        <f t="shared" si="15"/>
        <v>1.1577464788732394</v>
      </c>
      <c r="G20" s="33">
        <f t="shared" si="15"/>
        <v>1.0859649122807018</v>
      </c>
      <c r="H20" s="33">
        <f t="shared" si="15"/>
        <v>1.1225204200700116</v>
      </c>
      <c r="I20" s="33">
        <f t="shared" si="15"/>
        <v>1.0424242424242425</v>
      </c>
      <c r="J20" s="33">
        <f t="shared" si="15"/>
        <v>1.2672897196261681</v>
      </c>
      <c r="K20" s="33">
        <f t="shared" si="15"/>
        <v>1.124113475177305</v>
      </c>
      <c r="L20" s="33">
        <f t="shared" si="15"/>
        <v>1.0280898876404494</v>
      </c>
      <c r="M20" s="33">
        <f t="shared" si="15"/>
        <v>1.1632653061224489</v>
      </c>
      <c r="N20" s="33">
        <f t="shared" si="15"/>
        <v>1.019163763066202</v>
      </c>
      <c r="O20" s="33">
        <f t="shared" si="15"/>
        <v>1.015015015015015</v>
      </c>
      <c r="P20" s="33">
        <f t="shared" si="15"/>
        <v>1.0606796116504855</v>
      </c>
      <c r="Q20" s="29"/>
      <c r="R20" s="29"/>
      <c r="S20" s="18" t="s">
        <v>88</v>
      </c>
      <c r="T20" s="2">
        <v>12.3</v>
      </c>
      <c r="U20" s="2">
        <v>102.5</v>
      </c>
      <c r="V20" s="2">
        <v>54.7</v>
      </c>
      <c r="W20" s="2">
        <v>41.1</v>
      </c>
      <c r="X20" s="2">
        <v>61.9</v>
      </c>
      <c r="Y20" s="2">
        <v>96.2</v>
      </c>
      <c r="Z20" s="2">
        <v>51.6</v>
      </c>
      <c r="AA20" s="2">
        <v>67.8</v>
      </c>
      <c r="AB20" s="2">
        <v>63.4</v>
      </c>
      <c r="AC20" s="2">
        <v>18.3</v>
      </c>
      <c r="AD20" s="2">
        <v>51.3</v>
      </c>
      <c r="AE20" s="2">
        <v>58.5</v>
      </c>
      <c r="AF20" s="2">
        <v>33.799999999999997</v>
      </c>
      <c r="AG20">
        <v>43.7</v>
      </c>
      <c r="AH20" s="19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</row>
    <row r="21" spans="2:49">
      <c r="B21" s="46" t="s">
        <v>90</v>
      </c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25"/>
      <c r="R21" s="25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</row>
    <row r="22" spans="2:49">
      <c r="B22" s="18" t="s">
        <v>59</v>
      </c>
      <c r="C22" s="32">
        <f t="shared" ref="C22:P23" si="16">T22/C$6</f>
        <v>0.81132075471698117</v>
      </c>
      <c r="D22" s="32">
        <f t="shared" si="16"/>
        <v>0.9266450916936354</v>
      </c>
      <c r="E22" s="32">
        <f t="shared" si="16"/>
        <v>1.0181451612903225</v>
      </c>
      <c r="F22" s="32">
        <f t="shared" si="16"/>
        <v>0.83098591549295775</v>
      </c>
      <c r="G22" s="32">
        <f t="shared" si="16"/>
        <v>0.91403508771929831</v>
      </c>
      <c r="H22" s="32">
        <f t="shared" si="16"/>
        <v>0.96149358226371062</v>
      </c>
      <c r="I22" s="32">
        <f t="shared" si="16"/>
        <v>0.93939393939393945</v>
      </c>
      <c r="J22" s="32">
        <f t="shared" si="16"/>
        <v>1.0953271028037384</v>
      </c>
      <c r="K22" s="32">
        <f t="shared" si="16"/>
        <v>0.82978723404255317</v>
      </c>
      <c r="L22" s="32">
        <f t="shared" si="16"/>
        <v>0.8595505617977528</v>
      </c>
      <c r="M22" s="32">
        <f t="shared" si="16"/>
        <v>0.95464852607709749</v>
      </c>
      <c r="N22" s="32">
        <f t="shared" si="16"/>
        <v>0.86759581881533099</v>
      </c>
      <c r="O22" s="32">
        <f t="shared" si="16"/>
        <v>0.85585585585585588</v>
      </c>
      <c r="P22" s="32">
        <f t="shared" si="16"/>
        <v>0.9417475728155339</v>
      </c>
      <c r="Q22" s="28"/>
      <c r="R22" s="28"/>
      <c r="S22" s="18" t="s">
        <v>59</v>
      </c>
      <c r="T22" s="2">
        <v>12.9</v>
      </c>
      <c r="U22" s="2">
        <v>85.9</v>
      </c>
      <c r="V22" s="2">
        <v>50.5</v>
      </c>
      <c r="W22" s="2">
        <v>29.5</v>
      </c>
      <c r="X22" s="2">
        <v>52.1</v>
      </c>
      <c r="Y22" s="2">
        <v>82.4</v>
      </c>
      <c r="Z22" s="2">
        <v>46.5</v>
      </c>
      <c r="AA22" s="2">
        <v>58.6</v>
      </c>
      <c r="AB22" s="2">
        <v>46.8</v>
      </c>
      <c r="AC22" s="2">
        <v>15.3</v>
      </c>
      <c r="AD22" s="2">
        <v>42.1</v>
      </c>
      <c r="AE22" s="2">
        <v>49.8</v>
      </c>
      <c r="AF22" s="2">
        <v>28.5</v>
      </c>
      <c r="AG22">
        <v>38.799999999999997</v>
      </c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</row>
    <row r="23" spans="2:49">
      <c r="B23" s="20" t="s">
        <v>60</v>
      </c>
      <c r="C23" s="33">
        <f t="shared" si="16"/>
        <v>0.79874213836477981</v>
      </c>
      <c r="D23" s="33">
        <f t="shared" si="16"/>
        <v>0.92125134843581447</v>
      </c>
      <c r="E23" s="33">
        <f t="shared" si="16"/>
        <v>0.96774193548387089</v>
      </c>
      <c r="F23" s="33">
        <f t="shared" si="16"/>
        <v>0.81126760563380285</v>
      </c>
      <c r="G23" s="33">
        <f t="shared" si="16"/>
        <v>0.90350877192982459</v>
      </c>
      <c r="H23" s="33">
        <f t="shared" si="16"/>
        <v>0.97082847141190198</v>
      </c>
      <c r="I23" s="33">
        <f t="shared" si="16"/>
        <v>0.92929292929292928</v>
      </c>
      <c r="J23" s="33">
        <f t="shared" si="16"/>
        <v>1.1028037383177569</v>
      </c>
      <c r="K23" s="33">
        <f t="shared" si="16"/>
        <v>0.81560283687943269</v>
      </c>
      <c r="L23" s="33">
        <f t="shared" si="16"/>
        <v>0.8707865168539326</v>
      </c>
      <c r="M23" s="33">
        <f t="shared" si="16"/>
        <v>0.96598639455782309</v>
      </c>
      <c r="N23" s="33">
        <f t="shared" si="16"/>
        <v>0.86411149825783973</v>
      </c>
      <c r="O23" s="33">
        <f t="shared" si="16"/>
        <v>0.84684684684684686</v>
      </c>
      <c r="P23" s="33">
        <f t="shared" si="16"/>
        <v>0.91019417475728148</v>
      </c>
      <c r="Q23" s="30"/>
      <c r="R23" s="30"/>
      <c r="S23" s="18" t="s">
        <v>60</v>
      </c>
      <c r="T23" s="2">
        <v>12.7</v>
      </c>
      <c r="U23" s="2">
        <v>85.4</v>
      </c>
      <c r="V23" s="2">
        <v>48</v>
      </c>
      <c r="W23" s="2">
        <v>28.8</v>
      </c>
      <c r="X23" s="2">
        <v>51.5</v>
      </c>
      <c r="Y23" s="2">
        <v>83.2</v>
      </c>
      <c r="Z23" s="2">
        <v>46</v>
      </c>
      <c r="AA23" s="2">
        <v>59</v>
      </c>
      <c r="AB23" s="2">
        <v>46</v>
      </c>
      <c r="AC23" s="2">
        <v>15.5</v>
      </c>
      <c r="AD23" s="2">
        <v>42.6</v>
      </c>
      <c r="AE23" s="2">
        <v>49.6</v>
      </c>
      <c r="AF23" s="2">
        <v>28.2</v>
      </c>
      <c r="AG23">
        <v>37.5</v>
      </c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</row>
    <row r="24" spans="2:49">
      <c r="B24" s="45" t="s">
        <v>98</v>
      </c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S24" s="18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</row>
    <row r="25" spans="2:49">
      <c r="B25" s="20" t="s">
        <v>61</v>
      </c>
      <c r="C25" s="22">
        <f>T25</f>
        <v>10</v>
      </c>
      <c r="D25" s="22">
        <f t="shared" ref="D25:P36" si="17">U25</f>
        <v>10.9</v>
      </c>
      <c r="E25" s="22">
        <f t="shared" si="17"/>
        <v>10.1</v>
      </c>
      <c r="F25" s="22">
        <f t="shared" si="17"/>
        <v>10.5</v>
      </c>
      <c r="G25" s="22">
        <f t="shared" si="17"/>
        <v>10.199999999999999</v>
      </c>
      <c r="H25" s="22">
        <f t="shared" si="17"/>
        <v>11</v>
      </c>
      <c r="I25" s="22">
        <f t="shared" si="17"/>
        <v>10</v>
      </c>
      <c r="J25" s="22">
        <f t="shared" si="17"/>
        <v>10.3</v>
      </c>
      <c r="K25" s="22">
        <f t="shared" si="17"/>
        <v>9.6999999999999993</v>
      </c>
      <c r="L25" s="22">
        <f t="shared" si="17"/>
        <v>9.5</v>
      </c>
      <c r="M25" s="22">
        <f t="shared" si="17"/>
        <v>9.9</v>
      </c>
      <c r="N25" s="22">
        <f t="shared" si="17"/>
        <v>10.6</v>
      </c>
      <c r="O25" s="22">
        <f t="shared" si="17"/>
        <v>10.5</v>
      </c>
      <c r="P25" s="22">
        <f t="shared" si="17"/>
        <v>10</v>
      </c>
      <c r="S25" s="18" t="s">
        <v>30</v>
      </c>
      <c r="T25" s="2">
        <v>10</v>
      </c>
      <c r="U25" s="2">
        <v>10.9</v>
      </c>
      <c r="V25" s="2">
        <v>10.1</v>
      </c>
      <c r="W25" s="2">
        <v>10.5</v>
      </c>
      <c r="X25" s="2">
        <v>10.199999999999999</v>
      </c>
      <c r="Y25" s="2">
        <v>11</v>
      </c>
      <c r="Z25" s="2">
        <v>10</v>
      </c>
      <c r="AA25" s="2">
        <v>10.3</v>
      </c>
      <c r="AB25" s="2">
        <v>9.6999999999999993</v>
      </c>
      <c r="AC25" s="2">
        <v>9.5</v>
      </c>
      <c r="AD25" s="2">
        <v>9.9</v>
      </c>
      <c r="AE25" s="2">
        <v>10.6</v>
      </c>
      <c r="AF25" s="2">
        <v>10.5</v>
      </c>
      <c r="AG25" s="2">
        <v>10</v>
      </c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</row>
    <row r="26" spans="2:49">
      <c r="B26" s="18" t="s">
        <v>48</v>
      </c>
      <c r="C26" s="24">
        <f>T26</f>
        <v>14.1</v>
      </c>
      <c r="D26" s="24">
        <f t="shared" si="17"/>
        <v>9.6999999999999993</v>
      </c>
      <c r="E26" s="24">
        <f t="shared" si="17"/>
        <v>10.5</v>
      </c>
      <c r="F26" s="24">
        <f t="shared" si="17"/>
        <v>10.4</v>
      </c>
      <c r="G26" s="24">
        <f t="shared" si="17"/>
        <v>10.3</v>
      </c>
      <c r="H26" s="24">
        <f t="shared" si="17"/>
        <v>10.7</v>
      </c>
      <c r="I26" s="24">
        <f t="shared" si="17"/>
        <v>10.1</v>
      </c>
      <c r="J26" s="24">
        <f t="shared" si="17"/>
        <v>11.6</v>
      </c>
      <c r="K26" s="24">
        <f t="shared" si="17"/>
        <v>9.5</v>
      </c>
      <c r="L26" s="24">
        <f t="shared" si="17"/>
        <v>13.4</v>
      </c>
      <c r="M26" s="24">
        <f t="shared" si="17"/>
        <v>12.4</v>
      </c>
      <c r="N26" s="24">
        <f t="shared" si="17"/>
        <v>12.1</v>
      </c>
      <c r="O26" s="24">
        <f t="shared" si="17"/>
        <v>10.4</v>
      </c>
      <c r="P26" s="24">
        <f t="shared" si="17"/>
        <v>11.5</v>
      </c>
      <c r="S26" s="18" t="s">
        <v>76</v>
      </c>
      <c r="T26" s="2">
        <v>14.1</v>
      </c>
      <c r="U26" s="2">
        <v>9.6999999999999993</v>
      </c>
      <c r="V26" s="2">
        <v>10.5</v>
      </c>
      <c r="W26" s="2">
        <v>10.4</v>
      </c>
      <c r="X26" s="2">
        <v>10.3</v>
      </c>
      <c r="Y26" s="2">
        <v>10.7</v>
      </c>
      <c r="Z26" s="2">
        <v>10.1</v>
      </c>
      <c r="AA26" s="2">
        <v>11.6</v>
      </c>
      <c r="AB26" s="2">
        <v>9.5</v>
      </c>
      <c r="AC26" s="2">
        <v>13.4</v>
      </c>
      <c r="AD26" s="2">
        <v>12.4</v>
      </c>
      <c r="AE26" s="2">
        <v>12.1</v>
      </c>
      <c r="AF26" s="2">
        <v>10.4</v>
      </c>
      <c r="AG26" s="2">
        <v>11.5</v>
      </c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</row>
    <row r="27" spans="2:49">
      <c r="B27" s="18" t="s">
        <v>58</v>
      </c>
      <c r="C27" s="24">
        <f t="shared" ref="C27:C35" si="18">T27</f>
        <v>8.3000000000000007</v>
      </c>
      <c r="D27" s="24">
        <f t="shared" si="17"/>
        <v>8</v>
      </c>
      <c r="E27" s="24">
        <f t="shared" si="17"/>
        <v>8.6999999999999993</v>
      </c>
      <c r="F27" s="24">
        <f t="shared" si="17"/>
        <v>8.4</v>
      </c>
      <c r="G27" s="24">
        <f t="shared" si="17"/>
        <v>8.9</v>
      </c>
      <c r="H27" s="24">
        <f t="shared" si="17"/>
        <v>8.8000000000000007</v>
      </c>
      <c r="I27" s="24">
        <f t="shared" si="17"/>
        <v>9</v>
      </c>
      <c r="J27" s="24">
        <f t="shared" si="17"/>
        <v>9</v>
      </c>
      <c r="K27" s="24">
        <f t="shared" si="17"/>
        <v>9.6999999999999993</v>
      </c>
      <c r="L27" s="24">
        <f t="shared" si="17"/>
        <v>8.9</v>
      </c>
      <c r="M27" s="24">
        <f t="shared" si="17"/>
        <v>8.6999999999999993</v>
      </c>
      <c r="N27" s="24">
        <f t="shared" si="17"/>
        <v>9</v>
      </c>
      <c r="O27" s="24">
        <f t="shared" si="17"/>
        <v>8.6999999999999993</v>
      </c>
      <c r="P27" s="24">
        <f t="shared" si="17"/>
        <v>8.6999999999999993</v>
      </c>
      <c r="Q27" s="23"/>
      <c r="R27" s="23"/>
      <c r="S27" s="18" t="s">
        <v>77</v>
      </c>
      <c r="T27" s="2">
        <v>8.3000000000000007</v>
      </c>
      <c r="U27" s="2">
        <v>8</v>
      </c>
      <c r="V27" s="2">
        <v>8.6999999999999993</v>
      </c>
      <c r="W27" s="2">
        <v>8.4</v>
      </c>
      <c r="X27" s="2">
        <v>8.9</v>
      </c>
      <c r="Y27" s="2">
        <v>8.8000000000000007</v>
      </c>
      <c r="Z27" s="2">
        <v>9</v>
      </c>
      <c r="AA27" s="2">
        <v>9</v>
      </c>
      <c r="AB27" s="2">
        <v>9.6999999999999993</v>
      </c>
      <c r="AC27" s="2">
        <v>8.9</v>
      </c>
      <c r="AD27" s="2">
        <v>8.6999999999999993</v>
      </c>
      <c r="AE27" s="2">
        <v>9</v>
      </c>
      <c r="AF27" s="2">
        <v>8.6999999999999993</v>
      </c>
      <c r="AG27" s="2">
        <v>8.6999999999999993</v>
      </c>
      <c r="AH27" s="2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</row>
    <row r="28" spans="2:49" ht="14.45" customHeight="1">
      <c r="B28" s="18" t="s">
        <v>29</v>
      </c>
      <c r="C28" s="24">
        <f t="shared" si="18"/>
        <v>12.1</v>
      </c>
      <c r="D28" s="24">
        <f t="shared" si="17"/>
        <v>12.2</v>
      </c>
      <c r="E28" s="24">
        <f t="shared" si="17"/>
        <v>11.8</v>
      </c>
      <c r="F28" s="24">
        <f t="shared" si="17"/>
        <v>12.4</v>
      </c>
      <c r="G28" s="24">
        <f t="shared" si="17"/>
        <v>11.9</v>
      </c>
      <c r="H28" s="24">
        <f t="shared" si="17"/>
        <v>13</v>
      </c>
      <c r="I28" s="24">
        <f t="shared" si="17"/>
        <v>12.8</v>
      </c>
      <c r="J28" s="24">
        <f t="shared" si="17"/>
        <v>12.1</v>
      </c>
      <c r="K28" s="24">
        <f t="shared" si="17"/>
        <v>12.1</v>
      </c>
      <c r="L28" s="24">
        <f t="shared" si="17"/>
        <v>10.8</v>
      </c>
      <c r="M28" s="24">
        <f t="shared" si="17"/>
        <v>11.8</v>
      </c>
      <c r="N28" s="24">
        <f t="shared" si="17"/>
        <v>12.9</v>
      </c>
      <c r="O28" s="24">
        <f t="shared" si="17"/>
        <v>12.2</v>
      </c>
      <c r="P28" s="24">
        <f t="shared" si="17"/>
        <v>11.6</v>
      </c>
      <c r="Q28" s="23"/>
      <c r="R28" s="23"/>
      <c r="S28" s="18" t="s">
        <v>29</v>
      </c>
      <c r="T28" s="2">
        <v>12.1</v>
      </c>
      <c r="U28" s="2">
        <v>12.2</v>
      </c>
      <c r="V28" s="2">
        <v>11.8</v>
      </c>
      <c r="W28" s="2">
        <v>12.4</v>
      </c>
      <c r="X28" s="2">
        <v>11.9</v>
      </c>
      <c r="Y28" s="2">
        <v>13</v>
      </c>
      <c r="Z28" s="2">
        <v>12.8</v>
      </c>
      <c r="AA28" s="2">
        <v>12.1</v>
      </c>
      <c r="AB28" s="2">
        <v>12.1</v>
      </c>
      <c r="AC28" s="2">
        <v>10.8</v>
      </c>
      <c r="AD28" s="2">
        <v>11.8</v>
      </c>
      <c r="AE28" s="2">
        <v>12.9</v>
      </c>
      <c r="AF28" s="2">
        <v>12.2</v>
      </c>
      <c r="AG28" s="2">
        <v>11.6</v>
      </c>
      <c r="AH28" s="2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</row>
    <row r="29" spans="2:49" ht="14.45" customHeight="1">
      <c r="B29" s="18" t="s">
        <v>31</v>
      </c>
      <c r="C29" s="24">
        <f t="shared" si="18"/>
        <v>10.1</v>
      </c>
      <c r="D29" s="24">
        <f t="shared" si="17"/>
        <v>9.9</v>
      </c>
      <c r="E29" s="24">
        <f t="shared" si="17"/>
        <v>10</v>
      </c>
      <c r="F29" s="24">
        <f t="shared" si="17"/>
        <v>10.4</v>
      </c>
      <c r="G29" s="24">
        <f t="shared" si="17"/>
        <v>9.6</v>
      </c>
      <c r="H29" s="24">
        <f t="shared" si="17"/>
        <v>10.199999999999999</v>
      </c>
      <c r="I29" s="24">
        <f t="shared" si="17"/>
        <v>10.3</v>
      </c>
      <c r="J29" s="24">
        <f t="shared" si="17"/>
        <v>9.5</v>
      </c>
      <c r="K29" s="24">
        <f t="shared" si="17"/>
        <v>10.5</v>
      </c>
      <c r="L29" s="24">
        <f t="shared" si="17"/>
        <v>9.6</v>
      </c>
      <c r="M29" s="24">
        <f t="shared" si="17"/>
        <v>9.8000000000000007</v>
      </c>
      <c r="N29" s="24">
        <f t="shared" si="17"/>
        <v>9.5</v>
      </c>
      <c r="O29" s="24">
        <f t="shared" si="17"/>
        <v>10.199999999999999</v>
      </c>
      <c r="P29" s="24">
        <f t="shared" si="17"/>
        <v>10.1</v>
      </c>
      <c r="Q29" s="23"/>
      <c r="R29" s="23"/>
      <c r="S29" s="18" t="s">
        <v>31</v>
      </c>
      <c r="T29" s="2">
        <v>10.1</v>
      </c>
      <c r="U29" s="2">
        <v>9.9</v>
      </c>
      <c r="V29" s="2">
        <v>10</v>
      </c>
      <c r="W29" s="2">
        <v>10.4</v>
      </c>
      <c r="X29" s="2">
        <v>9.6</v>
      </c>
      <c r="Y29" s="2">
        <v>10.199999999999999</v>
      </c>
      <c r="Z29" s="2">
        <v>10.3</v>
      </c>
      <c r="AA29" s="2">
        <v>9.5</v>
      </c>
      <c r="AB29" s="2">
        <v>10.5</v>
      </c>
      <c r="AC29" s="2">
        <v>9.6</v>
      </c>
      <c r="AD29" s="2">
        <v>9.8000000000000007</v>
      </c>
      <c r="AE29" s="2">
        <v>9.5</v>
      </c>
      <c r="AF29" s="2">
        <v>10.199999999999999</v>
      </c>
      <c r="AG29" s="2">
        <v>10.1</v>
      </c>
      <c r="AH29" s="2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</row>
    <row r="30" spans="2:49">
      <c r="B30" s="18" t="s">
        <v>32</v>
      </c>
      <c r="C30" s="24">
        <f t="shared" si="18"/>
        <v>9.9</v>
      </c>
      <c r="D30" s="24">
        <f t="shared" si="17"/>
        <v>9.9</v>
      </c>
      <c r="E30" s="24">
        <f t="shared" si="17"/>
        <v>9.9</v>
      </c>
      <c r="F30" s="24">
        <f t="shared" si="17"/>
        <v>10.5</v>
      </c>
      <c r="G30" s="24">
        <f t="shared" si="17"/>
        <v>9.8000000000000007</v>
      </c>
      <c r="H30" s="24">
        <f t="shared" si="17"/>
        <v>10.199999999999999</v>
      </c>
      <c r="I30" s="24">
        <f t="shared" si="17"/>
        <v>10.5</v>
      </c>
      <c r="J30" s="24">
        <f t="shared" si="17"/>
        <v>9.5</v>
      </c>
      <c r="K30" s="24">
        <f t="shared" si="17"/>
        <v>10.3</v>
      </c>
      <c r="L30" s="24">
        <f t="shared" si="17"/>
        <v>10.1</v>
      </c>
      <c r="M30" s="24">
        <f t="shared" si="17"/>
        <v>10.199999999999999</v>
      </c>
      <c r="N30" s="24">
        <f t="shared" si="17"/>
        <v>9.5</v>
      </c>
      <c r="O30" s="24">
        <f t="shared" si="17"/>
        <v>10.1</v>
      </c>
      <c r="P30" s="24">
        <f t="shared" si="17"/>
        <v>9.9</v>
      </c>
      <c r="Q30" s="27"/>
      <c r="R30" s="27"/>
      <c r="S30" s="18" t="s">
        <v>32</v>
      </c>
      <c r="T30" s="2">
        <v>9.9</v>
      </c>
      <c r="U30" s="2">
        <v>9.9</v>
      </c>
      <c r="V30" s="2">
        <v>9.9</v>
      </c>
      <c r="W30" s="2">
        <v>10.5</v>
      </c>
      <c r="X30" s="2">
        <v>9.8000000000000007</v>
      </c>
      <c r="Y30" s="2">
        <v>10.199999999999999</v>
      </c>
      <c r="Z30" s="2">
        <v>10.5</v>
      </c>
      <c r="AA30" s="2">
        <v>9.5</v>
      </c>
      <c r="AB30" s="2">
        <v>10.3</v>
      </c>
      <c r="AC30" s="2">
        <v>10.1</v>
      </c>
      <c r="AD30" s="2">
        <v>10.199999999999999</v>
      </c>
      <c r="AE30" s="2">
        <v>9.5</v>
      </c>
      <c r="AF30" s="2">
        <v>10.1</v>
      </c>
      <c r="AG30" s="2">
        <v>9.9</v>
      </c>
      <c r="AH30" s="2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</row>
    <row r="31" spans="2:49">
      <c r="B31" s="18" t="s">
        <v>33</v>
      </c>
      <c r="C31" s="24">
        <f t="shared" si="18"/>
        <v>10</v>
      </c>
      <c r="D31" s="24">
        <f t="shared" si="17"/>
        <v>10</v>
      </c>
      <c r="E31" s="24">
        <f t="shared" si="17"/>
        <v>10.3</v>
      </c>
      <c r="F31" s="24">
        <f t="shared" si="17"/>
        <v>10.1</v>
      </c>
      <c r="G31" s="24">
        <f t="shared" si="17"/>
        <v>9.9</v>
      </c>
      <c r="H31" s="24">
        <f t="shared" si="17"/>
        <v>10.1</v>
      </c>
      <c r="I31" s="24">
        <f t="shared" si="17"/>
        <v>11.3</v>
      </c>
      <c r="J31" s="24">
        <f t="shared" si="17"/>
        <v>9.6999999999999993</v>
      </c>
      <c r="K31" s="24">
        <f t="shared" si="17"/>
        <v>10.5</v>
      </c>
      <c r="L31" s="24">
        <f t="shared" si="17"/>
        <v>9.8000000000000007</v>
      </c>
      <c r="M31" s="24">
        <f t="shared" si="17"/>
        <v>10.199999999999999</v>
      </c>
      <c r="N31" s="24">
        <f t="shared" si="17"/>
        <v>9.8000000000000007</v>
      </c>
      <c r="O31" s="24">
        <f t="shared" si="17"/>
        <v>10</v>
      </c>
      <c r="P31" s="24">
        <f t="shared" si="17"/>
        <v>9.9</v>
      </c>
      <c r="Q31" s="27"/>
      <c r="R31" s="27"/>
      <c r="S31" s="18" t="s">
        <v>33</v>
      </c>
      <c r="T31" s="2">
        <v>10</v>
      </c>
      <c r="U31" s="2">
        <v>10</v>
      </c>
      <c r="V31" s="2">
        <v>10.3</v>
      </c>
      <c r="W31" s="2">
        <v>10.1</v>
      </c>
      <c r="X31" s="2">
        <v>9.9</v>
      </c>
      <c r="Y31" s="2">
        <v>10.1</v>
      </c>
      <c r="Z31" s="2">
        <v>11.3</v>
      </c>
      <c r="AA31" s="2">
        <v>9.6999999999999993</v>
      </c>
      <c r="AB31" s="2">
        <v>10.5</v>
      </c>
      <c r="AC31" s="2">
        <v>9.8000000000000007</v>
      </c>
      <c r="AD31" s="2">
        <v>10.199999999999999</v>
      </c>
      <c r="AE31" s="2">
        <v>9.8000000000000007</v>
      </c>
      <c r="AF31" s="2">
        <v>10</v>
      </c>
      <c r="AG31" s="2">
        <v>9.9</v>
      </c>
      <c r="AH31" s="2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</row>
    <row r="32" spans="2:49">
      <c r="B32" s="18" t="s">
        <v>95</v>
      </c>
      <c r="C32" s="24">
        <f t="shared" si="18"/>
        <v>9.9</v>
      </c>
      <c r="D32" s="24">
        <f t="shared" si="17"/>
        <v>10.8</v>
      </c>
      <c r="E32" s="24">
        <f t="shared" si="17"/>
        <v>10.6</v>
      </c>
      <c r="F32" s="24">
        <f t="shared" si="17"/>
        <v>10.3</v>
      </c>
      <c r="G32" s="24">
        <f t="shared" si="17"/>
        <v>10.9</v>
      </c>
      <c r="H32" s="24">
        <f t="shared" si="17"/>
        <v>9.9</v>
      </c>
      <c r="I32" s="24">
        <f t="shared" si="17"/>
        <v>10.4</v>
      </c>
      <c r="J32" s="24">
        <f t="shared" si="17"/>
        <v>10.7</v>
      </c>
      <c r="K32" s="24">
        <f t="shared" si="17"/>
        <v>10.7</v>
      </c>
      <c r="L32" s="24">
        <f t="shared" si="17"/>
        <v>11.2</v>
      </c>
      <c r="M32" s="24">
        <f t="shared" si="17"/>
        <v>10.4</v>
      </c>
      <c r="N32" s="24">
        <f t="shared" si="17"/>
        <v>10.199999999999999</v>
      </c>
      <c r="O32" s="24">
        <f t="shared" si="17"/>
        <v>10.199999999999999</v>
      </c>
      <c r="P32" s="24">
        <f t="shared" si="17"/>
        <v>10.8</v>
      </c>
      <c r="Q32" s="27"/>
      <c r="R32" s="27"/>
      <c r="S32" s="18" t="s">
        <v>79</v>
      </c>
      <c r="T32" s="2">
        <v>9.9</v>
      </c>
      <c r="U32" s="2">
        <v>10.8</v>
      </c>
      <c r="V32" s="2">
        <v>10.6</v>
      </c>
      <c r="W32" s="2">
        <v>10.3</v>
      </c>
      <c r="X32" s="2">
        <v>10.9</v>
      </c>
      <c r="Y32" s="2">
        <v>9.9</v>
      </c>
      <c r="Z32" s="2">
        <v>10.4</v>
      </c>
      <c r="AA32" s="2">
        <v>10.7</v>
      </c>
      <c r="AB32" s="2">
        <v>10.7</v>
      </c>
      <c r="AC32" s="2">
        <v>11.2</v>
      </c>
      <c r="AD32" s="2">
        <v>10.4</v>
      </c>
      <c r="AE32" s="2">
        <v>10.199999999999999</v>
      </c>
      <c r="AF32" s="2">
        <v>10.199999999999999</v>
      </c>
      <c r="AG32" s="2">
        <v>10.8</v>
      </c>
      <c r="AH32" s="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</row>
    <row r="33" spans="2:49">
      <c r="B33" s="18" t="s">
        <v>94</v>
      </c>
      <c r="C33" s="24">
        <f t="shared" si="18"/>
        <v>8.8000000000000007</v>
      </c>
      <c r="D33" s="24">
        <f t="shared" si="17"/>
        <v>10.1</v>
      </c>
      <c r="E33" s="24">
        <f t="shared" si="17"/>
        <v>9.4</v>
      </c>
      <c r="F33" s="24">
        <f t="shared" si="17"/>
        <v>9</v>
      </c>
      <c r="G33" s="24">
        <f t="shared" si="17"/>
        <v>9.5</v>
      </c>
      <c r="H33" s="24">
        <f t="shared" si="17"/>
        <v>8.8000000000000007</v>
      </c>
      <c r="I33" s="24">
        <f t="shared" si="17"/>
        <v>9.1</v>
      </c>
      <c r="J33" s="24">
        <f t="shared" si="17"/>
        <v>9.6</v>
      </c>
      <c r="K33" s="24">
        <f t="shared" si="17"/>
        <v>9.4</v>
      </c>
      <c r="L33" s="24">
        <f t="shared" si="17"/>
        <v>10</v>
      </c>
      <c r="M33" s="24">
        <f t="shared" si="17"/>
        <v>9.3000000000000007</v>
      </c>
      <c r="N33" s="24">
        <f t="shared" si="17"/>
        <v>9.1999999999999993</v>
      </c>
      <c r="O33" s="24">
        <f t="shared" si="17"/>
        <v>9.1999999999999993</v>
      </c>
      <c r="P33" s="24">
        <f t="shared" si="17"/>
        <v>9.6</v>
      </c>
      <c r="Q33" s="27"/>
      <c r="R33" s="27"/>
      <c r="S33" s="18" t="s">
        <v>78</v>
      </c>
      <c r="T33" s="2">
        <v>8.8000000000000007</v>
      </c>
      <c r="U33" s="2">
        <v>10.1</v>
      </c>
      <c r="V33" s="2">
        <v>9.4</v>
      </c>
      <c r="W33" s="2">
        <v>9</v>
      </c>
      <c r="X33" s="2">
        <v>9.5</v>
      </c>
      <c r="Y33" s="2">
        <v>8.8000000000000007</v>
      </c>
      <c r="Z33" s="2">
        <v>9.1</v>
      </c>
      <c r="AA33" s="2">
        <v>9.6</v>
      </c>
      <c r="AB33" s="2">
        <v>9.4</v>
      </c>
      <c r="AC33" s="2">
        <v>10</v>
      </c>
      <c r="AD33" s="2">
        <v>9.3000000000000007</v>
      </c>
      <c r="AE33" s="2">
        <v>9.1999999999999993</v>
      </c>
      <c r="AF33" s="2">
        <v>9.1999999999999993</v>
      </c>
      <c r="AG33" s="2">
        <v>9.6</v>
      </c>
      <c r="AH33" s="2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</row>
    <row r="34" spans="2:49">
      <c r="B34" s="17" t="s">
        <v>91</v>
      </c>
      <c r="C34" s="24">
        <f t="shared" si="18"/>
        <v>10.199999999999999</v>
      </c>
      <c r="D34" s="24">
        <f t="shared" si="17"/>
        <v>9.5</v>
      </c>
      <c r="E34" s="24">
        <f t="shared" si="17"/>
        <v>10.199999999999999</v>
      </c>
      <c r="F34" s="24">
        <f t="shared" si="17"/>
        <v>10.4</v>
      </c>
      <c r="G34" s="24">
        <f t="shared" si="17"/>
        <v>10.1</v>
      </c>
      <c r="H34" s="24">
        <f t="shared" si="17"/>
        <v>9.6</v>
      </c>
      <c r="I34" s="24">
        <f t="shared" si="17"/>
        <v>10.199999999999999</v>
      </c>
      <c r="J34" s="24">
        <f t="shared" si="17"/>
        <v>10.199999999999999</v>
      </c>
      <c r="K34" s="24">
        <f t="shared" si="17"/>
        <v>10.6</v>
      </c>
      <c r="L34" s="24">
        <f t="shared" si="17"/>
        <v>10.1</v>
      </c>
      <c r="M34" s="24">
        <f t="shared" si="17"/>
        <v>9.9</v>
      </c>
      <c r="N34" s="24">
        <f t="shared" si="17"/>
        <v>10.1</v>
      </c>
      <c r="O34" s="24">
        <f t="shared" si="17"/>
        <v>9.6999999999999993</v>
      </c>
      <c r="P34" s="24">
        <f t="shared" si="17"/>
        <v>10.1</v>
      </c>
      <c r="Q34" s="27"/>
      <c r="R34" s="27"/>
      <c r="S34" s="18" t="s">
        <v>83</v>
      </c>
      <c r="T34" s="2">
        <v>10.199999999999999</v>
      </c>
      <c r="U34" s="2">
        <v>9.5</v>
      </c>
      <c r="V34" s="2">
        <v>10.199999999999999</v>
      </c>
      <c r="W34" s="2">
        <v>10.4</v>
      </c>
      <c r="X34" s="2">
        <v>10.1</v>
      </c>
      <c r="Y34" s="2">
        <v>9.6</v>
      </c>
      <c r="Z34" s="2">
        <v>10.199999999999999</v>
      </c>
      <c r="AA34" s="2">
        <v>10.199999999999999</v>
      </c>
      <c r="AB34" s="2">
        <v>10.6</v>
      </c>
      <c r="AC34" s="2">
        <v>10.1</v>
      </c>
      <c r="AD34" s="2">
        <v>9.9</v>
      </c>
      <c r="AE34" s="2">
        <v>10.1</v>
      </c>
      <c r="AF34" s="2">
        <v>9.6999999999999993</v>
      </c>
      <c r="AG34" s="2">
        <v>10.1</v>
      </c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</row>
    <row r="35" spans="2:49">
      <c r="B35" s="17" t="s">
        <v>57</v>
      </c>
      <c r="C35" s="24">
        <f t="shared" si="18"/>
        <v>9.5</v>
      </c>
      <c r="D35" s="24">
        <f t="shared" si="17"/>
        <v>10.5</v>
      </c>
      <c r="E35" s="24">
        <f t="shared" si="17"/>
        <v>10.199999999999999</v>
      </c>
      <c r="F35" s="24">
        <f t="shared" si="17"/>
        <v>10.5</v>
      </c>
      <c r="G35" s="24">
        <f t="shared" si="17"/>
        <v>10.8</v>
      </c>
      <c r="H35" s="24">
        <f t="shared" si="17"/>
        <v>10.4</v>
      </c>
      <c r="I35" s="24">
        <f t="shared" si="17"/>
        <v>10</v>
      </c>
      <c r="J35" s="24">
        <f t="shared" si="17"/>
        <v>10.1</v>
      </c>
      <c r="K35" s="24">
        <f t="shared" si="17"/>
        <v>10.8</v>
      </c>
      <c r="L35" s="24">
        <f t="shared" si="17"/>
        <v>10.3</v>
      </c>
      <c r="M35" s="24">
        <f t="shared" si="17"/>
        <v>10.1</v>
      </c>
      <c r="N35" s="24">
        <f t="shared" si="17"/>
        <v>10.199999999999999</v>
      </c>
      <c r="O35" s="24">
        <f t="shared" si="17"/>
        <v>10.7</v>
      </c>
      <c r="P35" s="24">
        <f t="shared" si="17"/>
        <v>10.4</v>
      </c>
      <c r="Q35" s="27"/>
      <c r="R35" s="27"/>
      <c r="S35" s="18" t="s">
        <v>81</v>
      </c>
      <c r="T35" s="2">
        <v>9.5</v>
      </c>
      <c r="U35" s="2">
        <v>10.5</v>
      </c>
      <c r="V35" s="2">
        <v>10.199999999999999</v>
      </c>
      <c r="W35" s="2">
        <v>10.5</v>
      </c>
      <c r="X35" s="2">
        <v>10.8</v>
      </c>
      <c r="Y35" s="2">
        <v>10.4</v>
      </c>
      <c r="Z35" s="2">
        <v>10</v>
      </c>
      <c r="AA35" s="2">
        <v>10.1</v>
      </c>
      <c r="AB35" s="2">
        <v>10.8</v>
      </c>
      <c r="AC35" s="2">
        <v>10.3</v>
      </c>
      <c r="AD35" s="2">
        <v>10.1</v>
      </c>
      <c r="AE35" s="2">
        <v>10.199999999999999</v>
      </c>
      <c r="AF35" s="2">
        <v>10.7</v>
      </c>
      <c r="AG35" s="2">
        <v>10.4</v>
      </c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</row>
    <row r="36" spans="2:49">
      <c r="B36" s="18" t="s">
        <v>89</v>
      </c>
      <c r="C36" s="24">
        <f>T36</f>
        <v>8.1</v>
      </c>
      <c r="D36" s="24">
        <f t="shared" si="17"/>
        <v>9.3000000000000007</v>
      </c>
      <c r="E36" s="24">
        <f t="shared" si="17"/>
        <v>8.8000000000000007</v>
      </c>
      <c r="F36" s="24">
        <f t="shared" si="17"/>
        <v>8.6</v>
      </c>
      <c r="G36" s="24">
        <f t="shared" si="17"/>
        <v>9.1</v>
      </c>
      <c r="H36" s="24">
        <f t="shared" si="17"/>
        <v>8.8000000000000007</v>
      </c>
      <c r="I36" s="24">
        <f t="shared" si="17"/>
        <v>8.5</v>
      </c>
      <c r="J36" s="24">
        <f t="shared" si="17"/>
        <v>9.1</v>
      </c>
      <c r="K36" s="24">
        <f t="shared" si="17"/>
        <v>9.1999999999999993</v>
      </c>
      <c r="L36" s="24">
        <f t="shared" si="17"/>
        <v>9.1</v>
      </c>
      <c r="M36" s="24">
        <f t="shared" si="17"/>
        <v>8.9</v>
      </c>
      <c r="N36" s="24">
        <f t="shared" si="17"/>
        <v>8.4</v>
      </c>
      <c r="O36" s="24">
        <f t="shared" si="17"/>
        <v>8.8000000000000007</v>
      </c>
      <c r="P36" s="24">
        <f t="shared" si="17"/>
        <v>8.9</v>
      </c>
      <c r="Q36" s="27"/>
      <c r="R36" s="27"/>
      <c r="S36" s="18" t="s">
        <v>80</v>
      </c>
      <c r="T36" s="2">
        <v>8.1</v>
      </c>
      <c r="U36" s="2">
        <v>9.3000000000000007</v>
      </c>
      <c r="V36" s="2">
        <v>8.8000000000000007</v>
      </c>
      <c r="W36" s="2">
        <v>8.6</v>
      </c>
      <c r="X36" s="2">
        <v>9.1</v>
      </c>
      <c r="Y36" s="2">
        <v>8.8000000000000007</v>
      </c>
      <c r="Z36" s="2">
        <v>8.5</v>
      </c>
      <c r="AA36" s="2">
        <v>9.1</v>
      </c>
      <c r="AB36" s="2">
        <v>9.1999999999999993</v>
      </c>
      <c r="AC36" s="2">
        <v>9.1</v>
      </c>
      <c r="AD36" s="2">
        <v>8.9</v>
      </c>
      <c r="AE36" s="2">
        <v>8.4</v>
      </c>
      <c r="AF36" s="2">
        <v>8.8000000000000007</v>
      </c>
      <c r="AG36" s="2">
        <v>8.9</v>
      </c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</row>
    <row r="37" spans="2:49">
      <c r="B37" s="46" t="s">
        <v>99</v>
      </c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27"/>
      <c r="R37" s="27"/>
      <c r="S37" s="18"/>
      <c r="AG37" s="2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</row>
    <row r="38" spans="2:49">
      <c r="B38" s="17" t="s">
        <v>92</v>
      </c>
      <c r="C38" s="34">
        <f>T38</f>
        <v>10.4</v>
      </c>
      <c r="D38" s="34">
        <f t="shared" ref="D38:P39" si="19">U38</f>
        <v>9.6999999999999993</v>
      </c>
      <c r="E38" s="34">
        <f t="shared" si="19"/>
        <v>10.3</v>
      </c>
      <c r="F38" s="34">
        <f t="shared" si="19"/>
        <v>10.3</v>
      </c>
      <c r="G38" s="34">
        <f t="shared" si="19"/>
        <v>10.199999999999999</v>
      </c>
      <c r="H38" s="34">
        <f t="shared" si="19"/>
        <v>9.6999999999999993</v>
      </c>
      <c r="I38" s="34">
        <f t="shared" si="19"/>
        <v>10.1</v>
      </c>
      <c r="J38" s="34">
        <f t="shared" si="19"/>
        <v>10.199999999999999</v>
      </c>
      <c r="K38" s="34">
        <f t="shared" si="19"/>
        <v>10.3</v>
      </c>
      <c r="L38" s="34">
        <f t="shared" si="19"/>
        <v>10.3</v>
      </c>
      <c r="M38" s="34">
        <f t="shared" si="19"/>
        <v>10.1</v>
      </c>
      <c r="N38" s="34">
        <f t="shared" si="19"/>
        <v>9.9</v>
      </c>
      <c r="O38" s="34">
        <f t="shared" si="19"/>
        <v>10.1</v>
      </c>
      <c r="P38" s="34">
        <f t="shared" si="19"/>
        <v>10.199999999999999</v>
      </c>
      <c r="Q38" s="27"/>
      <c r="R38" s="27"/>
      <c r="S38" s="18" t="s">
        <v>84</v>
      </c>
      <c r="T38" s="2">
        <v>10.4</v>
      </c>
      <c r="U38" s="2">
        <v>9.6999999999999993</v>
      </c>
      <c r="V38" s="2">
        <v>10.3</v>
      </c>
      <c r="W38" s="2">
        <v>10.3</v>
      </c>
      <c r="X38" s="2">
        <v>10.199999999999999</v>
      </c>
      <c r="Y38" s="2">
        <v>9.6999999999999993</v>
      </c>
      <c r="Z38" s="2">
        <v>10.1</v>
      </c>
      <c r="AA38" s="2">
        <v>10.199999999999999</v>
      </c>
      <c r="AB38" s="2">
        <v>10.3</v>
      </c>
      <c r="AC38" s="2">
        <v>10.3</v>
      </c>
      <c r="AD38" s="2">
        <v>10.1</v>
      </c>
      <c r="AE38" s="2">
        <v>9.9</v>
      </c>
      <c r="AF38" s="2">
        <v>10.1</v>
      </c>
      <c r="AG38" s="2">
        <v>10.199999999999999</v>
      </c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</row>
    <row r="39" spans="2:49">
      <c r="B39" s="17" t="s">
        <v>88</v>
      </c>
      <c r="C39" s="36">
        <f>T39</f>
        <v>10.199999999999999</v>
      </c>
      <c r="D39" s="36">
        <f t="shared" si="19"/>
        <v>10.8</v>
      </c>
      <c r="E39" s="36">
        <f t="shared" si="19"/>
        <v>10</v>
      </c>
      <c r="F39" s="36">
        <f t="shared" si="19"/>
        <v>10</v>
      </c>
      <c r="G39" s="36">
        <f t="shared" si="19"/>
        <v>10.1</v>
      </c>
      <c r="H39" s="36">
        <f t="shared" si="19"/>
        <v>10.3</v>
      </c>
      <c r="I39" s="36">
        <f t="shared" si="19"/>
        <v>10.3</v>
      </c>
      <c r="J39" s="36">
        <f t="shared" si="19"/>
        <v>10</v>
      </c>
      <c r="K39" s="36">
        <f t="shared" si="19"/>
        <v>9.3000000000000007</v>
      </c>
      <c r="L39" s="36">
        <f t="shared" si="19"/>
        <v>9.4</v>
      </c>
      <c r="M39" s="36">
        <f t="shared" si="19"/>
        <v>9.8000000000000007</v>
      </c>
      <c r="N39" s="36">
        <f t="shared" si="19"/>
        <v>10.3</v>
      </c>
      <c r="O39" s="36">
        <f t="shared" si="19"/>
        <v>10.7</v>
      </c>
      <c r="P39" s="36">
        <f t="shared" si="19"/>
        <v>10.1</v>
      </c>
      <c r="Q39" s="27"/>
      <c r="R39" s="27"/>
      <c r="S39" s="18" t="s">
        <v>82</v>
      </c>
      <c r="T39" s="2">
        <v>10.199999999999999</v>
      </c>
      <c r="U39" s="2">
        <v>10.8</v>
      </c>
      <c r="V39" s="2">
        <v>10</v>
      </c>
      <c r="W39" s="2">
        <v>10</v>
      </c>
      <c r="X39" s="2">
        <v>10.1</v>
      </c>
      <c r="Y39" s="2">
        <v>10.3</v>
      </c>
      <c r="Z39" s="2">
        <v>10.3</v>
      </c>
      <c r="AA39" s="2">
        <v>10</v>
      </c>
      <c r="AB39" s="2">
        <v>9.3000000000000007</v>
      </c>
      <c r="AC39" s="2">
        <v>9.4</v>
      </c>
      <c r="AD39" s="2">
        <v>9.8000000000000007</v>
      </c>
      <c r="AE39" s="2">
        <v>10.3</v>
      </c>
      <c r="AF39" s="2">
        <v>10.7</v>
      </c>
      <c r="AG39" s="2">
        <v>10.1</v>
      </c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</row>
    <row r="40" spans="2:49">
      <c r="B40" s="46" t="s">
        <v>100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27"/>
      <c r="R40" s="27"/>
      <c r="S40" s="18"/>
      <c r="AG40" s="2"/>
      <c r="AH40" s="19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</row>
    <row r="41" spans="2:49">
      <c r="B41" s="18" t="s">
        <v>59</v>
      </c>
      <c r="C41" s="34">
        <f>T41</f>
        <v>8.6999999999999993</v>
      </c>
      <c r="D41" s="34">
        <f t="shared" ref="D41:P42" si="20">U41</f>
        <v>9.1999999999999993</v>
      </c>
      <c r="E41" s="34">
        <f t="shared" si="20"/>
        <v>9.1</v>
      </c>
      <c r="F41" s="34">
        <f t="shared" si="20"/>
        <v>8.6999999999999993</v>
      </c>
      <c r="G41" s="34">
        <f t="shared" si="20"/>
        <v>9</v>
      </c>
      <c r="H41" s="34">
        <f t="shared" si="20"/>
        <v>8.9</v>
      </c>
      <c r="I41" s="34">
        <f t="shared" si="20"/>
        <v>9</v>
      </c>
      <c r="J41" s="34">
        <f t="shared" si="20"/>
        <v>8.9</v>
      </c>
      <c r="K41" s="34">
        <f t="shared" si="20"/>
        <v>9</v>
      </c>
      <c r="L41" s="34">
        <f t="shared" si="20"/>
        <v>8.6</v>
      </c>
      <c r="M41" s="34">
        <f t="shared" si="20"/>
        <v>8.9</v>
      </c>
      <c r="N41" s="34">
        <f t="shared" si="20"/>
        <v>8.6999999999999993</v>
      </c>
      <c r="O41" s="34">
        <f t="shared" si="20"/>
        <v>9</v>
      </c>
      <c r="P41" s="34">
        <f t="shared" si="20"/>
        <v>8.9</v>
      </c>
      <c r="Q41" s="27"/>
      <c r="R41" s="27"/>
      <c r="S41" s="18" t="s">
        <v>85</v>
      </c>
      <c r="T41" s="2">
        <v>8.6999999999999993</v>
      </c>
      <c r="U41" s="2">
        <v>9.1999999999999993</v>
      </c>
      <c r="V41" s="2">
        <v>9.1</v>
      </c>
      <c r="W41" s="2">
        <v>8.6999999999999993</v>
      </c>
      <c r="X41" s="2">
        <v>9</v>
      </c>
      <c r="Y41" s="2">
        <v>8.9</v>
      </c>
      <c r="Z41" s="2">
        <v>9</v>
      </c>
      <c r="AA41" s="2">
        <v>8.9</v>
      </c>
      <c r="AB41" s="2">
        <v>9</v>
      </c>
      <c r="AC41" s="2">
        <v>8.6</v>
      </c>
      <c r="AD41" s="2">
        <v>8.9</v>
      </c>
      <c r="AE41" s="2">
        <v>8.6999999999999993</v>
      </c>
      <c r="AF41" s="2">
        <v>9</v>
      </c>
      <c r="AG41" s="2">
        <v>8.9</v>
      </c>
      <c r="AH41" s="19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</row>
    <row r="42" spans="2:49" ht="15.75" thickBot="1">
      <c r="B42" s="21" t="s">
        <v>60</v>
      </c>
      <c r="C42" s="35">
        <f>T42</f>
        <v>8.5</v>
      </c>
      <c r="D42" s="35">
        <f t="shared" si="20"/>
        <v>9</v>
      </c>
      <c r="E42" s="35">
        <f t="shared" si="20"/>
        <v>9</v>
      </c>
      <c r="F42" s="35">
        <f t="shared" si="20"/>
        <v>8.6</v>
      </c>
      <c r="G42" s="35">
        <f t="shared" si="20"/>
        <v>9</v>
      </c>
      <c r="H42" s="35">
        <f t="shared" si="20"/>
        <v>8.8000000000000007</v>
      </c>
      <c r="I42" s="35">
        <f t="shared" si="20"/>
        <v>8.8000000000000007</v>
      </c>
      <c r="J42" s="35">
        <f t="shared" si="20"/>
        <v>9.1999999999999993</v>
      </c>
      <c r="K42" s="35">
        <f t="shared" si="20"/>
        <v>9</v>
      </c>
      <c r="L42" s="35">
        <f t="shared" si="20"/>
        <v>8.6</v>
      </c>
      <c r="M42" s="35">
        <f t="shared" si="20"/>
        <v>8.8000000000000007</v>
      </c>
      <c r="N42" s="35">
        <f t="shared" si="20"/>
        <v>8.5</v>
      </c>
      <c r="O42" s="35">
        <f t="shared" si="20"/>
        <v>8.9</v>
      </c>
      <c r="P42" s="35">
        <f t="shared" si="20"/>
        <v>8.8000000000000007</v>
      </c>
      <c r="Q42" s="27"/>
      <c r="R42" s="27"/>
      <c r="S42" s="18" t="s">
        <v>86</v>
      </c>
      <c r="T42" s="2">
        <v>8.5</v>
      </c>
      <c r="U42" s="2">
        <v>9</v>
      </c>
      <c r="V42" s="2">
        <v>9</v>
      </c>
      <c r="W42" s="2">
        <v>8.6</v>
      </c>
      <c r="X42" s="2">
        <v>9</v>
      </c>
      <c r="Y42" s="2">
        <v>8.8000000000000007</v>
      </c>
      <c r="Z42" s="2">
        <v>8.8000000000000007</v>
      </c>
      <c r="AA42" s="2">
        <v>9.1999999999999993</v>
      </c>
      <c r="AB42" s="2">
        <v>9</v>
      </c>
      <c r="AC42" s="2">
        <v>8.6</v>
      </c>
      <c r="AD42" s="2">
        <v>8.8000000000000007</v>
      </c>
      <c r="AE42" s="2">
        <v>8.5</v>
      </c>
      <c r="AF42" s="2">
        <v>8.9</v>
      </c>
      <c r="AG42" s="2">
        <v>8.8000000000000007</v>
      </c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</row>
    <row r="43" spans="2:49" ht="15" customHeight="1">
      <c r="B43" s="43" t="s">
        <v>101</v>
      </c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27"/>
      <c r="R43" s="27"/>
      <c r="S43" s="18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</row>
    <row r="44" spans="2:49" ht="14.45" customHeight="1"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27"/>
      <c r="R44" s="27"/>
      <c r="S44" s="18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</row>
    <row r="45" spans="2:49"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27"/>
      <c r="R45" s="27"/>
      <c r="S45" s="18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</row>
    <row r="46" spans="2:49"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27"/>
      <c r="R46" s="27"/>
      <c r="S46" s="18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</row>
    <row r="47" spans="2:49"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27"/>
      <c r="R47" s="27"/>
      <c r="S47" s="18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</row>
    <row r="48" spans="2:49"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27"/>
      <c r="R48" s="27"/>
      <c r="S48" s="1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</row>
    <row r="49" spans="2:49"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27"/>
      <c r="R49" s="27"/>
      <c r="S49" s="18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</row>
    <row r="50" spans="2:49">
      <c r="B50" s="26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18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</row>
    <row r="51" spans="2:49">
      <c r="B51" s="26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18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</row>
    <row r="52" spans="2:49">
      <c r="B52" s="26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18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</row>
    <row r="53" spans="2:49">
      <c r="B53" s="26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</row>
    <row r="54" spans="2:49">
      <c r="B54" s="26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18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</row>
    <row r="55" spans="2:49">
      <c r="B55" s="26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18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</row>
    <row r="56" spans="2:49">
      <c r="B56" s="26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</row>
    <row r="57" spans="2:49">
      <c r="B57" s="17"/>
      <c r="S57" s="18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</row>
    <row r="58" spans="2:49">
      <c r="B58" s="17"/>
      <c r="S58" s="1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</row>
    <row r="59" spans="2:49">
      <c r="B59" s="17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</row>
    <row r="60" spans="2:49">
      <c r="B60" s="17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</row>
    <row r="61" spans="2:49">
      <c r="B61" s="17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</row>
    <row r="62" spans="2:49">
      <c r="B62" s="17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</row>
    <row r="63" spans="2:49">
      <c r="B63" s="17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</row>
    <row r="64" spans="2:49"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</row>
    <row r="65" spans="2:49"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</row>
    <row r="66" spans="2:49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</row>
    <row r="67" spans="2:49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</row>
    <row r="70" spans="2:49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</row>
    <row r="71" spans="2:49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</row>
    <row r="73" spans="2:49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</row>
    <row r="74" spans="2:49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</row>
    <row r="76" spans="2:49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</row>
    <row r="77" spans="2:49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</row>
  </sheetData>
  <mergeCells count="8">
    <mergeCell ref="B40:P40"/>
    <mergeCell ref="B43:P48"/>
    <mergeCell ref="B2:P2"/>
    <mergeCell ref="B5:P5"/>
    <mergeCell ref="B18:P18"/>
    <mergeCell ref="B21:P21"/>
    <mergeCell ref="B24:P24"/>
    <mergeCell ref="B37:P3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Y77"/>
  <sheetViews>
    <sheetView zoomScale="85" zoomScaleNormal="85" workbookViewId="0">
      <selection activeCell="B32" sqref="B32"/>
    </sheetView>
  </sheetViews>
  <sheetFormatPr defaultRowHeight="15"/>
  <cols>
    <col min="1" max="1" width="8.7109375" customWidth="1"/>
    <col min="2" max="2" width="11.28515625" style="18" bestFit="1" customWidth="1"/>
    <col min="3" max="3" width="5.7109375" style="2" bestFit="1" customWidth="1"/>
    <col min="4" max="4" width="5.85546875" style="2" bestFit="1" customWidth="1"/>
    <col min="5" max="6" width="5.7109375" style="2" bestFit="1" customWidth="1"/>
    <col min="7" max="9" width="5.85546875" style="2" bestFit="1" customWidth="1"/>
    <col min="10" max="10" width="6.5703125" style="2" bestFit="1" customWidth="1"/>
    <col min="11" max="12" width="5.7109375" style="2" bestFit="1" customWidth="1"/>
    <col min="13" max="13" width="6.5703125" style="2" bestFit="1" customWidth="1"/>
    <col min="14" max="14" width="5.85546875" style="2" bestFit="1" customWidth="1"/>
    <col min="15" max="16" width="5.7109375" style="2" bestFit="1" customWidth="1"/>
    <col min="17" max="18" width="7" style="2" customWidth="1"/>
    <col min="19" max="19" width="10.5703125" style="2" bestFit="1" customWidth="1"/>
    <col min="20" max="20" width="5.7109375" style="2" bestFit="1" customWidth="1"/>
    <col min="21" max="24" width="6.140625" style="2" bestFit="1" customWidth="1"/>
    <col min="25" max="25" width="7.140625" style="2" bestFit="1" customWidth="1"/>
    <col min="26" max="26" width="6.140625" style="2" bestFit="1" customWidth="1"/>
    <col min="27" max="27" width="6.42578125" style="2" bestFit="1" customWidth="1"/>
    <col min="28" max="28" width="6.140625" style="2" bestFit="1" customWidth="1"/>
    <col min="29" max="29" width="5.7109375" style="2" bestFit="1" customWidth="1"/>
    <col min="30" max="30" width="6.42578125" style="2" bestFit="1" customWidth="1"/>
    <col min="31" max="32" width="6.140625" style="2" bestFit="1" customWidth="1"/>
    <col min="33" max="33" width="5.7109375" bestFit="1" customWidth="1"/>
    <col min="34" max="34" width="6.28515625" bestFit="1" customWidth="1"/>
    <col min="36" max="36" width="4.140625" style="6" bestFit="1" customWidth="1"/>
    <col min="37" max="37" width="3.85546875" style="6" bestFit="1" customWidth="1"/>
    <col min="38" max="38" width="4" style="6" bestFit="1" customWidth="1"/>
    <col min="39" max="39" width="4.28515625" style="6" bestFit="1" customWidth="1"/>
    <col min="40" max="42" width="4.42578125" style="6" bestFit="1" customWidth="1"/>
    <col min="43" max="43" width="5.85546875" style="6" bestFit="1" customWidth="1"/>
    <col min="44" max="44" width="4.28515625" style="6" bestFit="1" customWidth="1"/>
    <col min="45" max="45" width="3.7109375" style="6" bestFit="1" customWidth="1"/>
    <col min="46" max="46" width="5.85546875" style="6" bestFit="1" customWidth="1"/>
    <col min="47" max="47" width="4.42578125" style="6" bestFit="1" customWidth="1"/>
    <col min="48" max="49" width="4.140625" style="6" bestFit="1" customWidth="1"/>
  </cols>
  <sheetData>
    <row r="2" spans="2:51">
      <c r="B2" s="41" t="s">
        <v>108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</row>
    <row r="4" spans="2:51">
      <c r="B4" s="20"/>
      <c r="C4" s="8" t="s">
        <v>34</v>
      </c>
      <c r="D4" s="8" t="s">
        <v>35</v>
      </c>
      <c r="E4" s="8" t="s">
        <v>36</v>
      </c>
      <c r="F4" s="8" t="s">
        <v>37</v>
      </c>
      <c r="G4" s="8" t="s">
        <v>38</v>
      </c>
      <c r="H4" s="8" t="s">
        <v>39</v>
      </c>
      <c r="I4" s="8" t="s">
        <v>40</v>
      </c>
      <c r="J4" s="8" t="s">
        <v>41</v>
      </c>
      <c r="K4" s="8" t="s">
        <v>42</v>
      </c>
      <c r="L4" s="8" t="s">
        <v>43</v>
      </c>
      <c r="M4" s="8" t="s">
        <v>46</v>
      </c>
      <c r="N4" s="8" t="s">
        <v>44</v>
      </c>
      <c r="O4" s="8" t="s">
        <v>45</v>
      </c>
      <c r="P4" s="8" t="s">
        <v>47</v>
      </c>
      <c r="Q4" s="27"/>
      <c r="R4" s="27"/>
      <c r="S4" s="20" t="s">
        <v>86</v>
      </c>
      <c r="T4" s="8" t="s">
        <v>34</v>
      </c>
      <c r="U4" s="8" t="s">
        <v>35</v>
      </c>
      <c r="V4" s="8" t="s">
        <v>36</v>
      </c>
      <c r="W4" s="8" t="s">
        <v>37</v>
      </c>
      <c r="X4" s="8" t="s">
        <v>38</v>
      </c>
      <c r="Y4" s="8" t="s">
        <v>39</v>
      </c>
      <c r="Z4" s="8" t="s">
        <v>40</v>
      </c>
      <c r="AA4" s="8" t="s">
        <v>41</v>
      </c>
      <c r="AB4" s="8" t="s">
        <v>42</v>
      </c>
      <c r="AC4" s="8" t="s">
        <v>43</v>
      </c>
      <c r="AD4" s="8" t="s">
        <v>46</v>
      </c>
      <c r="AE4" s="8" t="s">
        <v>44</v>
      </c>
      <c r="AF4" s="8" t="s">
        <v>45</v>
      </c>
      <c r="AG4" s="8" t="s">
        <v>47</v>
      </c>
      <c r="AH4" s="2"/>
    </row>
    <row r="5" spans="2:51">
      <c r="B5" s="46" t="s">
        <v>87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25"/>
      <c r="R5" s="25"/>
    </row>
    <row r="6" spans="2:51">
      <c r="B6" s="20" t="s">
        <v>61</v>
      </c>
      <c r="C6" s="40">
        <f>T6</f>
        <v>0.29699999999999999</v>
      </c>
      <c r="D6" s="40">
        <f t="shared" ref="D6:P6" si="0">U6</f>
        <v>0.33600000000000002</v>
      </c>
      <c r="E6" s="40">
        <f t="shared" si="0"/>
        <v>0.28499999999999998</v>
      </c>
      <c r="F6" s="40">
        <f t="shared" si="0"/>
        <v>0.28699999999999998</v>
      </c>
      <c r="G6" s="40">
        <f t="shared" si="0"/>
        <v>0.27800000000000002</v>
      </c>
      <c r="H6" s="40">
        <f t="shared" si="0"/>
        <v>0.57099999999999995</v>
      </c>
      <c r="I6" s="40">
        <f t="shared" si="0"/>
        <v>0.184</v>
      </c>
      <c r="J6" s="40">
        <f t="shared" si="0"/>
        <v>0.30399999999999999</v>
      </c>
      <c r="K6" s="40">
        <f t="shared" si="0"/>
        <v>0.20200000000000001</v>
      </c>
      <c r="L6" s="40">
        <f t="shared" si="0"/>
        <v>0.16400000000000001</v>
      </c>
      <c r="M6" s="40">
        <f t="shared" si="0"/>
        <v>0.439</v>
      </c>
      <c r="N6" s="40">
        <f t="shared" si="0"/>
        <v>0.23499999999999999</v>
      </c>
      <c r="O6" s="40">
        <f t="shared" si="0"/>
        <v>0.315</v>
      </c>
      <c r="P6" s="40">
        <f t="shared" si="0"/>
        <v>0.29099999999999998</v>
      </c>
      <c r="Q6" s="23"/>
      <c r="R6" s="23"/>
      <c r="S6" s="18" t="s">
        <v>30</v>
      </c>
      <c r="T6" s="38">
        <v>0.29699999999999999</v>
      </c>
      <c r="U6" s="38">
        <v>0.33600000000000002</v>
      </c>
      <c r="V6" s="38">
        <v>0.28499999999999998</v>
      </c>
      <c r="W6" s="38">
        <v>0.28699999999999998</v>
      </c>
      <c r="X6" s="38">
        <v>0.27800000000000002</v>
      </c>
      <c r="Y6" s="38">
        <v>0.57099999999999995</v>
      </c>
      <c r="Z6" s="38">
        <v>0.184</v>
      </c>
      <c r="AA6" s="38">
        <v>0.30399999999999999</v>
      </c>
      <c r="AB6" s="38">
        <v>0.20200000000000001</v>
      </c>
      <c r="AC6" s="38">
        <v>0.16400000000000001</v>
      </c>
      <c r="AD6" s="38">
        <v>0.439</v>
      </c>
      <c r="AE6" s="38">
        <v>0.23499999999999999</v>
      </c>
      <c r="AF6" s="38">
        <v>0.315</v>
      </c>
      <c r="AG6" s="39">
        <v>0.29099999999999998</v>
      </c>
    </row>
    <row r="7" spans="2:51">
      <c r="B7" s="18" t="s">
        <v>48</v>
      </c>
      <c r="C7" s="31">
        <f t="shared" ref="C7:C17" si="1">T7/C$6</f>
        <v>0.96296296296296291</v>
      </c>
      <c r="D7" s="31">
        <f t="shared" ref="D7:D17" si="2">U7/D$6</f>
        <v>0.88690476190476186</v>
      </c>
      <c r="E7" s="31">
        <f t="shared" ref="E7:E17" si="3">V7/E$6</f>
        <v>0.93333333333333346</v>
      </c>
      <c r="F7" s="31">
        <f t="shared" ref="F7:F17" si="4">W7/F$6</f>
        <v>0.90940766550522656</v>
      </c>
      <c r="G7" s="31">
        <f t="shared" ref="G7:G17" si="5">X7/G$6</f>
        <v>0.87050359712230208</v>
      </c>
      <c r="H7" s="31">
        <f t="shared" ref="H7:H17" si="6">Y7/H$6</f>
        <v>0.8213660245183888</v>
      </c>
      <c r="I7" s="31">
        <f t="shared" ref="I7:I17" si="7">Z7/I$6</f>
        <v>0.9184782608695653</v>
      </c>
      <c r="J7" s="31">
        <f t="shared" ref="J7:J17" si="8">AA7/J$6</f>
        <v>1.0197368421052633</v>
      </c>
      <c r="K7" s="31">
        <f t="shared" ref="K7:K17" si="9">AB7/K$6</f>
        <v>0.97029702970297027</v>
      </c>
      <c r="L7" s="31">
        <f t="shared" ref="L7:L17" si="10">AC7/L$6</f>
        <v>1.347560975609756</v>
      </c>
      <c r="M7" s="31">
        <f t="shared" ref="M7:M17" si="11">AD7/M$6</f>
        <v>0.79043280182232345</v>
      </c>
      <c r="N7" s="31">
        <f t="shared" ref="N7:N17" si="12">AE7/N$6</f>
        <v>1.1531914893617023</v>
      </c>
      <c r="O7" s="31">
        <f t="shared" ref="O7:O17" si="13">AF7/O$6</f>
        <v>0.90793650793650782</v>
      </c>
      <c r="P7" s="31">
        <f t="shared" ref="P7:P17" si="14">AG7/P$6</f>
        <v>0.83848797250859108</v>
      </c>
      <c r="Q7" s="19"/>
      <c r="R7" s="19"/>
      <c r="S7" s="18" t="s">
        <v>48</v>
      </c>
      <c r="T7" s="38">
        <v>0.28599999999999998</v>
      </c>
      <c r="U7" s="38">
        <v>0.29799999999999999</v>
      </c>
      <c r="V7" s="38">
        <v>0.26600000000000001</v>
      </c>
      <c r="W7" s="38">
        <v>0.26100000000000001</v>
      </c>
      <c r="X7" s="38">
        <v>0.24199999999999999</v>
      </c>
      <c r="Y7" s="38">
        <v>0.46899999999999997</v>
      </c>
      <c r="Z7" s="38">
        <v>0.16900000000000001</v>
      </c>
      <c r="AA7" s="38">
        <v>0.31</v>
      </c>
      <c r="AB7" s="38">
        <v>0.19600000000000001</v>
      </c>
      <c r="AC7" s="38">
        <v>0.221</v>
      </c>
      <c r="AD7" s="38">
        <v>0.34699999999999998</v>
      </c>
      <c r="AE7" s="38">
        <v>0.27100000000000002</v>
      </c>
      <c r="AF7" s="38">
        <v>0.28599999999999998</v>
      </c>
      <c r="AG7" s="39">
        <v>0.24399999999999999</v>
      </c>
      <c r="AH7" s="2"/>
      <c r="AY7" s="6"/>
    </row>
    <row r="8" spans="2:51">
      <c r="B8" s="18" t="s">
        <v>58</v>
      </c>
      <c r="C8" s="31">
        <f t="shared" si="1"/>
        <v>1.1212121212121213</v>
      </c>
      <c r="D8" s="31">
        <f t="shared" si="2"/>
        <v>1.0089285714285714</v>
      </c>
      <c r="E8" s="31">
        <f t="shared" si="3"/>
        <v>1.3824561403508773</v>
      </c>
      <c r="F8" s="31">
        <f t="shared" si="4"/>
        <v>0.92334494773519171</v>
      </c>
      <c r="G8" s="31">
        <f t="shared" si="5"/>
        <v>1.0251798561151078</v>
      </c>
      <c r="H8" s="31">
        <f t="shared" si="6"/>
        <v>0.88616462346760083</v>
      </c>
      <c r="I8" s="31">
        <f t="shared" si="7"/>
        <v>1.2282608695652175</v>
      </c>
      <c r="J8" s="31">
        <f t="shared" si="8"/>
        <v>1.256578947368421</v>
      </c>
      <c r="K8" s="31">
        <f t="shared" si="9"/>
        <v>1.2475247524752475</v>
      </c>
      <c r="L8" s="31">
        <f t="shared" si="10"/>
        <v>1.2743902439024388</v>
      </c>
      <c r="M8" s="31">
        <f t="shared" si="11"/>
        <v>0.90432801822323472</v>
      </c>
      <c r="N8" s="31">
        <f t="shared" si="12"/>
        <v>1.3531914893617023</v>
      </c>
      <c r="O8" s="31">
        <f t="shared" si="13"/>
        <v>0.98095238095238091</v>
      </c>
      <c r="P8" s="31">
        <f t="shared" si="14"/>
        <v>1.0103092783505154</v>
      </c>
      <c r="Q8" s="19"/>
      <c r="R8" s="19"/>
      <c r="S8" s="18" t="s">
        <v>58</v>
      </c>
      <c r="T8" s="38">
        <v>0.33300000000000002</v>
      </c>
      <c r="U8" s="38">
        <v>0.33900000000000002</v>
      </c>
      <c r="V8" s="38">
        <v>0.39400000000000002</v>
      </c>
      <c r="W8" s="38">
        <v>0.26500000000000001</v>
      </c>
      <c r="X8" s="38">
        <v>0.28499999999999998</v>
      </c>
      <c r="Y8" s="38">
        <v>0.50600000000000001</v>
      </c>
      <c r="Z8" s="38">
        <v>0.22600000000000001</v>
      </c>
      <c r="AA8" s="38">
        <v>0.38200000000000001</v>
      </c>
      <c r="AB8" s="38">
        <v>0.252</v>
      </c>
      <c r="AC8" s="38">
        <v>0.20899999999999999</v>
      </c>
      <c r="AD8" s="38">
        <v>0.39700000000000002</v>
      </c>
      <c r="AE8" s="38">
        <v>0.318</v>
      </c>
      <c r="AF8" s="38">
        <v>0.309</v>
      </c>
      <c r="AG8" s="39">
        <v>0.29399999999999998</v>
      </c>
      <c r="AH8" s="2"/>
      <c r="AY8" s="6"/>
    </row>
    <row r="9" spans="2:51">
      <c r="B9" s="18" t="s">
        <v>29</v>
      </c>
      <c r="C9" s="31">
        <f t="shared" si="1"/>
        <v>1.292929292929293</v>
      </c>
      <c r="D9" s="31">
        <f t="shared" si="2"/>
        <v>1.1339285714285714</v>
      </c>
      <c r="E9" s="31">
        <f t="shared" si="3"/>
        <v>1.2035087719298247</v>
      </c>
      <c r="F9" s="31">
        <f t="shared" si="4"/>
        <v>1.1602787456445995</v>
      </c>
      <c r="G9" s="31">
        <f t="shared" si="5"/>
        <v>1.1834532374100719</v>
      </c>
      <c r="H9" s="31">
        <f t="shared" si="6"/>
        <v>0.99124343257443082</v>
      </c>
      <c r="I9" s="31">
        <f t="shared" si="7"/>
        <v>1.5326086956521738</v>
      </c>
      <c r="J9" s="31">
        <f t="shared" si="8"/>
        <v>1.1546052631578947</v>
      </c>
      <c r="K9" s="31">
        <f t="shared" si="9"/>
        <v>1.3415841584158417</v>
      </c>
      <c r="L9" s="31">
        <f t="shared" si="10"/>
        <v>1.1646341463414633</v>
      </c>
      <c r="M9" s="31">
        <f t="shared" si="11"/>
        <v>0.86560364464692485</v>
      </c>
      <c r="N9" s="31">
        <f t="shared" si="12"/>
        <v>1.4127659574468088</v>
      </c>
      <c r="O9" s="31">
        <f t="shared" si="13"/>
        <v>1.1492063492063491</v>
      </c>
      <c r="P9" s="31">
        <f t="shared" si="14"/>
        <v>1.0790378006872854</v>
      </c>
      <c r="Q9" s="19"/>
      <c r="R9" s="19"/>
      <c r="S9" s="18" t="s">
        <v>29</v>
      </c>
      <c r="T9" s="38">
        <v>0.38400000000000001</v>
      </c>
      <c r="U9" s="38">
        <v>0.38100000000000001</v>
      </c>
      <c r="V9" s="38">
        <v>0.34300000000000003</v>
      </c>
      <c r="W9" s="38">
        <v>0.33300000000000002</v>
      </c>
      <c r="X9" s="38">
        <v>0.32900000000000001</v>
      </c>
      <c r="Y9" s="38">
        <v>0.56599999999999995</v>
      </c>
      <c r="Z9" s="38">
        <v>0.28199999999999997</v>
      </c>
      <c r="AA9" s="38">
        <v>0.35099999999999998</v>
      </c>
      <c r="AB9" s="38">
        <v>0.27100000000000002</v>
      </c>
      <c r="AC9" s="38">
        <v>0.191</v>
      </c>
      <c r="AD9" s="38">
        <v>0.38</v>
      </c>
      <c r="AE9" s="38">
        <v>0.33200000000000002</v>
      </c>
      <c r="AF9" s="38">
        <v>0.36199999999999999</v>
      </c>
      <c r="AG9" s="39">
        <v>0.314</v>
      </c>
      <c r="AH9" s="2"/>
      <c r="AY9" s="6"/>
    </row>
    <row r="10" spans="2:51">
      <c r="B10" s="18" t="s">
        <v>31</v>
      </c>
      <c r="C10" s="31">
        <f t="shared" si="1"/>
        <v>1.2255892255892256</v>
      </c>
      <c r="D10" s="31">
        <f t="shared" si="2"/>
        <v>0.9732142857142857</v>
      </c>
      <c r="E10" s="31">
        <f t="shared" si="3"/>
        <v>1.1403508771929827</v>
      </c>
      <c r="F10" s="31">
        <f t="shared" si="4"/>
        <v>1.0209059233449478</v>
      </c>
      <c r="G10" s="31">
        <f t="shared" si="5"/>
        <v>1.3561151079136688</v>
      </c>
      <c r="H10" s="31">
        <f t="shared" si="6"/>
        <v>1.2014010507880912</v>
      </c>
      <c r="I10" s="31">
        <f t="shared" si="7"/>
        <v>1.0434782608695652</v>
      </c>
      <c r="J10" s="31">
        <f t="shared" si="8"/>
        <v>1.1973684210526316</v>
      </c>
      <c r="K10" s="31">
        <f t="shared" si="9"/>
        <v>1.1287128712871286</v>
      </c>
      <c r="L10" s="31">
        <f t="shared" si="10"/>
        <v>1.1463414634146341</v>
      </c>
      <c r="M10" s="31">
        <f t="shared" si="11"/>
        <v>0.97494305239179957</v>
      </c>
      <c r="N10" s="31">
        <f t="shared" si="12"/>
        <v>0.93617021276595747</v>
      </c>
      <c r="O10" s="31">
        <f t="shared" si="13"/>
        <v>0.96507936507936509</v>
      </c>
      <c r="P10" s="31">
        <f t="shared" si="14"/>
        <v>1.0446735395189004</v>
      </c>
      <c r="Q10" s="19"/>
      <c r="R10" s="19"/>
      <c r="S10" s="18" t="s">
        <v>31</v>
      </c>
      <c r="T10" s="38">
        <v>0.36399999999999999</v>
      </c>
      <c r="U10" s="38">
        <v>0.32700000000000001</v>
      </c>
      <c r="V10" s="38">
        <v>0.32500000000000001</v>
      </c>
      <c r="W10" s="38">
        <v>0.29299999999999998</v>
      </c>
      <c r="X10" s="38">
        <v>0.377</v>
      </c>
      <c r="Y10" s="38">
        <v>0.68600000000000005</v>
      </c>
      <c r="Z10" s="38">
        <v>0.192</v>
      </c>
      <c r="AA10" s="38">
        <v>0.36399999999999999</v>
      </c>
      <c r="AB10" s="38">
        <v>0.22800000000000001</v>
      </c>
      <c r="AC10" s="38">
        <v>0.188</v>
      </c>
      <c r="AD10" s="38">
        <v>0.42799999999999999</v>
      </c>
      <c r="AE10" s="38">
        <v>0.22</v>
      </c>
      <c r="AF10" s="38">
        <v>0.30399999999999999</v>
      </c>
      <c r="AG10" s="39">
        <v>0.30399999999999999</v>
      </c>
      <c r="AH10" s="2"/>
      <c r="AY10" s="6"/>
    </row>
    <row r="11" spans="2:51">
      <c r="B11" s="18" t="s">
        <v>32</v>
      </c>
      <c r="C11" s="31">
        <f t="shared" si="1"/>
        <v>1.4511784511784511</v>
      </c>
      <c r="D11" s="31">
        <f t="shared" si="2"/>
        <v>0.97023809523809523</v>
      </c>
      <c r="E11" s="31">
        <f t="shared" si="3"/>
        <v>1.0631578947368421</v>
      </c>
      <c r="F11" s="31">
        <f t="shared" si="4"/>
        <v>0.99651567944250874</v>
      </c>
      <c r="G11" s="31">
        <f t="shared" si="5"/>
        <v>0.97482014388489202</v>
      </c>
      <c r="H11" s="31">
        <f t="shared" si="6"/>
        <v>1.2136602451838878</v>
      </c>
      <c r="I11" s="31">
        <f t="shared" si="7"/>
        <v>1.0706521739130435</v>
      </c>
      <c r="J11" s="31">
        <f t="shared" si="8"/>
        <v>1.138157894736842</v>
      </c>
      <c r="K11" s="31">
        <f t="shared" si="9"/>
        <v>1.0544554455445543</v>
      </c>
      <c r="L11" s="31">
        <f t="shared" si="10"/>
        <v>1.0548780487804876</v>
      </c>
      <c r="M11" s="31">
        <f t="shared" si="11"/>
        <v>0.87471526195899774</v>
      </c>
      <c r="N11" s="31">
        <f t="shared" si="12"/>
        <v>0.95319148936170217</v>
      </c>
      <c r="O11" s="31">
        <f t="shared" si="13"/>
        <v>1.0126984126984127</v>
      </c>
      <c r="P11" s="31">
        <f t="shared" si="14"/>
        <v>0.98969072164948457</v>
      </c>
      <c r="Q11" s="19"/>
      <c r="R11" s="19"/>
      <c r="S11" s="18" t="s">
        <v>32</v>
      </c>
      <c r="T11" s="38">
        <v>0.43099999999999999</v>
      </c>
      <c r="U11" s="38">
        <v>0.32600000000000001</v>
      </c>
      <c r="V11" s="38">
        <v>0.30299999999999999</v>
      </c>
      <c r="W11" s="38">
        <v>0.28599999999999998</v>
      </c>
      <c r="X11" s="38">
        <v>0.27100000000000002</v>
      </c>
      <c r="Y11" s="38">
        <v>0.69299999999999995</v>
      </c>
      <c r="Z11" s="38">
        <v>0.19700000000000001</v>
      </c>
      <c r="AA11" s="38">
        <v>0.34599999999999997</v>
      </c>
      <c r="AB11" s="38">
        <v>0.21299999999999999</v>
      </c>
      <c r="AC11" s="38">
        <v>0.17299999999999999</v>
      </c>
      <c r="AD11" s="38">
        <v>0.38400000000000001</v>
      </c>
      <c r="AE11" s="38">
        <v>0.224</v>
      </c>
      <c r="AF11" s="38">
        <v>0.31900000000000001</v>
      </c>
      <c r="AG11" s="39">
        <v>0.28799999999999998</v>
      </c>
      <c r="AH11" s="2"/>
      <c r="AY11" s="6"/>
    </row>
    <row r="12" spans="2:51">
      <c r="B12" s="18" t="s">
        <v>33</v>
      </c>
      <c r="C12" s="31">
        <f t="shared" si="1"/>
        <v>1.6902356902356903</v>
      </c>
      <c r="D12" s="31">
        <f t="shared" si="2"/>
        <v>0.9642857142857143</v>
      </c>
      <c r="E12" s="31">
        <f t="shared" si="3"/>
        <v>1.0771929824561404</v>
      </c>
      <c r="F12" s="31">
        <f t="shared" si="4"/>
        <v>0.92682926829268308</v>
      </c>
      <c r="G12" s="31">
        <f t="shared" si="5"/>
        <v>1.2446043165467624</v>
      </c>
      <c r="H12" s="31">
        <f t="shared" si="6"/>
        <v>1.1190893169877409</v>
      </c>
      <c r="I12" s="31">
        <f t="shared" si="7"/>
        <v>1.0978260869565217</v>
      </c>
      <c r="J12" s="31">
        <f t="shared" si="8"/>
        <v>1.180921052631579</v>
      </c>
      <c r="K12" s="31">
        <f t="shared" si="9"/>
        <v>1.0990099009900989</v>
      </c>
      <c r="L12" s="31">
        <f t="shared" si="10"/>
        <v>1.1585365853658536</v>
      </c>
      <c r="M12" s="31">
        <f t="shared" si="11"/>
        <v>0.9362186788154897</v>
      </c>
      <c r="N12" s="31">
        <f t="shared" si="12"/>
        <v>0.94893617021276599</v>
      </c>
      <c r="O12" s="31">
        <f t="shared" si="13"/>
        <v>0.98730158730158724</v>
      </c>
      <c r="P12" s="31">
        <f t="shared" si="14"/>
        <v>0.95876288659793829</v>
      </c>
      <c r="Q12" s="19"/>
      <c r="R12" s="19"/>
      <c r="S12" s="18" t="s">
        <v>33</v>
      </c>
      <c r="T12" s="38">
        <v>0.502</v>
      </c>
      <c r="U12" s="38">
        <v>0.32400000000000001</v>
      </c>
      <c r="V12" s="38">
        <v>0.307</v>
      </c>
      <c r="W12" s="38">
        <v>0.26600000000000001</v>
      </c>
      <c r="X12" s="38">
        <v>0.34599999999999997</v>
      </c>
      <c r="Y12" s="38">
        <v>0.63900000000000001</v>
      </c>
      <c r="Z12" s="38">
        <v>0.20200000000000001</v>
      </c>
      <c r="AA12" s="38">
        <v>0.35899999999999999</v>
      </c>
      <c r="AB12" s="38">
        <v>0.222</v>
      </c>
      <c r="AC12" s="38">
        <v>0.19</v>
      </c>
      <c r="AD12" s="38">
        <v>0.41099999999999998</v>
      </c>
      <c r="AE12" s="38">
        <v>0.223</v>
      </c>
      <c r="AF12" s="38">
        <v>0.311</v>
      </c>
      <c r="AG12" s="39">
        <v>0.27900000000000003</v>
      </c>
      <c r="AH12" s="2"/>
      <c r="AY12" s="6"/>
    </row>
    <row r="13" spans="2:51">
      <c r="B13" s="18" t="s">
        <v>95</v>
      </c>
      <c r="C13" s="31">
        <f t="shared" si="1"/>
        <v>1.1515151515151516</v>
      </c>
      <c r="D13" s="31">
        <f t="shared" si="2"/>
        <v>1.2232142857142856</v>
      </c>
      <c r="E13" s="31">
        <f t="shared" si="3"/>
        <v>1.3052631578947369</v>
      </c>
      <c r="F13" s="31">
        <f t="shared" si="4"/>
        <v>1.1533101045296168</v>
      </c>
      <c r="G13" s="31">
        <f t="shared" si="5"/>
        <v>1.3273381294964028</v>
      </c>
      <c r="H13" s="31">
        <f t="shared" si="6"/>
        <v>1.4133099824868653</v>
      </c>
      <c r="I13" s="31">
        <f t="shared" si="7"/>
        <v>1.1413043478260869</v>
      </c>
      <c r="J13" s="31">
        <f t="shared" si="8"/>
        <v>1.5131578947368423</v>
      </c>
      <c r="K13" s="31">
        <f t="shared" si="9"/>
        <v>1.306930693069307</v>
      </c>
      <c r="L13" s="31">
        <f t="shared" si="10"/>
        <v>1.4817073170731707</v>
      </c>
      <c r="M13" s="31">
        <f t="shared" si="11"/>
        <v>1.2847380410022777</v>
      </c>
      <c r="N13" s="31">
        <f t="shared" si="12"/>
        <v>1.2765957446808511</v>
      </c>
      <c r="O13" s="31">
        <f t="shared" si="13"/>
        <v>1.2952380952380951</v>
      </c>
      <c r="P13" s="31">
        <f t="shared" si="14"/>
        <v>1.261168384879725</v>
      </c>
      <c r="Q13" s="19"/>
      <c r="R13" s="19"/>
      <c r="S13" s="18" t="s">
        <v>95</v>
      </c>
      <c r="T13" s="38">
        <v>0.34200000000000003</v>
      </c>
      <c r="U13" s="38">
        <v>0.41099999999999998</v>
      </c>
      <c r="V13" s="38">
        <v>0.372</v>
      </c>
      <c r="W13" s="38">
        <v>0.33100000000000002</v>
      </c>
      <c r="X13" s="38">
        <v>0.36899999999999999</v>
      </c>
      <c r="Y13" s="38">
        <v>0.80700000000000005</v>
      </c>
      <c r="Z13" s="38">
        <v>0.21</v>
      </c>
      <c r="AA13" s="38">
        <v>0.46</v>
      </c>
      <c r="AB13" s="38">
        <v>0.26400000000000001</v>
      </c>
      <c r="AC13" s="38">
        <v>0.24299999999999999</v>
      </c>
      <c r="AD13" s="38">
        <v>0.56399999999999995</v>
      </c>
      <c r="AE13" s="38">
        <v>0.3</v>
      </c>
      <c r="AF13" s="38">
        <v>0.40799999999999997</v>
      </c>
      <c r="AG13" s="39">
        <v>0.36699999999999999</v>
      </c>
      <c r="AH13" s="2"/>
      <c r="AY13" s="6"/>
    </row>
    <row r="14" spans="2:51">
      <c r="B14" s="18" t="s">
        <v>94</v>
      </c>
      <c r="C14" s="31">
        <f t="shared" si="1"/>
        <v>0.8350168350168351</v>
      </c>
      <c r="D14" s="31">
        <f t="shared" si="2"/>
        <v>0.94345238095238093</v>
      </c>
      <c r="E14" s="31">
        <f t="shared" si="3"/>
        <v>0.94736842105263175</v>
      </c>
      <c r="F14" s="31">
        <f t="shared" si="4"/>
        <v>0.84668989547038331</v>
      </c>
      <c r="G14" s="31">
        <f t="shared" si="5"/>
        <v>0.97122302158273377</v>
      </c>
      <c r="H14" s="31">
        <f t="shared" si="6"/>
        <v>0.84413309982486873</v>
      </c>
      <c r="I14" s="31">
        <f t="shared" si="7"/>
        <v>0.89130434782608703</v>
      </c>
      <c r="J14" s="31">
        <f t="shared" si="8"/>
        <v>1.0953947368421053</v>
      </c>
      <c r="K14" s="31">
        <f t="shared" si="9"/>
        <v>0.9455445544554455</v>
      </c>
      <c r="L14" s="31">
        <f t="shared" si="10"/>
        <v>1.1707317073170731</v>
      </c>
      <c r="M14" s="31">
        <f t="shared" si="11"/>
        <v>0.91571753986332582</v>
      </c>
      <c r="N14" s="31">
        <f t="shared" si="12"/>
        <v>1.0468085106382978</v>
      </c>
      <c r="O14" s="31">
        <f t="shared" si="13"/>
        <v>0.96507936507936509</v>
      </c>
      <c r="P14" s="31">
        <f t="shared" si="14"/>
        <v>0.9278350515463919</v>
      </c>
      <c r="Q14" s="28"/>
      <c r="R14" s="28"/>
      <c r="S14" s="18" t="s">
        <v>96</v>
      </c>
      <c r="T14" s="38">
        <v>0.248</v>
      </c>
      <c r="U14" s="38">
        <v>0.317</v>
      </c>
      <c r="V14" s="38">
        <v>0.27</v>
      </c>
      <c r="W14" s="38">
        <v>0.24299999999999999</v>
      </c>
      <c r="X14" s="38">
        <v>0.27</v>
      </c>
      <c r="Y14" s="38">
        <v>0.48199999999999998</v>
      </c>
      <c r="Z14" s="38">
        <v>0.16400000000000001</v>
      </c>
      <c r="AA14" s="38">
        <v>0.33300000000000002</v>
      </c>
      <c r="AB14" s="38">
        <v>0.191</v>
      </c>
      <c r="AC14" s="38">
        <v>0.192</v>
      </c>
      <c r="AD14" s="38">
        <v>0.40200000000000002</v>
      </c>
      <c r="AE14" s="38">
        <v>0.246</v>
      </c>
      <c r="AF14" s="38">
        <v>0.30399999999999999</v>
      </c>
      <c r="AG14" s="39">
        <v>0.27</v>
      </c>
    </row>
    <row r="15" spans="2:51">
      <c r="B15" s="17" t="s">
        <v>91</v>
      </c>
      <c r="C15" s="31">
        <f t="shared" si="1"/>
        <v>1.4006734006734007</v>
      </c>
      <c r="D15" s="31">
        <f t="shared" si="2"/>
        <v>1.0089285714285714</v>
      </c>
      <c r="E15" s="31">
        <f t="shared" si="3"/>
        <v>1.2456140350877194</v>
      </c>
      <c r="F15" s="31">
        <f t="shared" si="4"/>
        <v>1.1811846689895471</v>
      </c>
      <c r="G15" s="31">
        <f t="shared" si="5"/>
        <v>1.2697841726618704</v>
      </c>
      <c r="H15" s="31">
        <f t="shared" si="6"/>
        <v>1.1366024518388793</v>
      </c>
      <c r="I15" s="31">
        <f t="shared" si="7"/>
        <v>1.0760869565217392</v>
      </c>
      <c r="J15" s="31">
        <f t="shared" si="8"/>
        <v>1.2532894736842106</v>
      </c>
      <c r="K15" s="31">
        <f t="shared" si="9"/>
        <v>1.2772277227722773</v>
      </c>
      <c r="L15" s="31">
        <f t="shared" si="10"/>
        <v>1.2073170731707317</v>
      </c>
      <c r="M15" s="31">
        <f t="shared" si="11"/>
        <v>1.1070615034168565</v>
      </c>
      <c r="N15" s="31">
        <f t="shared" si="12"/>
        <v>1.0510638297872341</v>
      </c>
      <c r="O15" s="31">
        <f t="shared" si="13"/>
        <v>1.1746031746031746</v>
      </c>
      <c r="P15" s="31">
        <f t="shared" si="14"/>
        <v>1.1649484536082475</v>
      </c>
      <c r="Q15" s="19"/>
      <c r="R15" s="19"/>
      <c r="S15" s="18" t="s">
        <v>91</v>
      </c>
      <c r="T15" s="38">
        <v>0.41599999999999998</v>
      </c>
      <c r="U15" s="38">
        <v>0.33900000000000002</v>
      </c>
      <c r="V15" s="38">
        <v>0.35499999999999998</v>
      </c>
      <c r="W15" s="38">
        <v>0.33900000000000002</v>
      </c>
      <c r="X15" s="38">
        <v>0.35299999999999998</v>
      </c>
      <c r="Y15" s="38">
        <v>0.64900000000000002</v>
      </c>
      <c r="Z15" s="38">
        <v>0.19800000000000001</v>
      </c>
      <c r="AA15" s="38">
        <v>0.38100000000000001</v>
      </c>
      <c r="AB15" s="38">
        <v>0.25800000000000001</v>
      </c>
      <c r="AC15" s="38">
        <v>0.19800000000000001</v>
      </c>
      <c r="AD15" s="38">
        <v>0.48599999999999999</v>
      </c>
      <c r="AE15" s="38">
        <v>0.247</v>
      </c>
      <c r="AF15" s="38">
        <v>0.37</v>
      </c>
      <c r="AG15" s="39">
        <v>0.33900000000000002</v>
      </c>
    </row>
    <row r="16" spans="2:51">
      <c r="B16" s="17" t="s">
        <v>57</v>
      </c>
      <c r="C16" s="31">
        <f t="shared" si="1"/>
        <v>1.0437710437710439</v>
      </c>
      <c r="D16" s="31">
        <f t="shared" si="2"/>
        <v>1.1279761904761905</v>
      </c>
      <c r="E16" s="31">
        <f t="shared" si="3"/>
        <v>1.1228070175438598</v>
      </c>
      <c r="F16" s="31">
        <f t="shared" si="4"/>
        <v>1.0104529616724738</v>
      </c>
      <c r="G16" s="31">
        <f t="shared" si="5"/>
        <v>1.1942446043165467</v>
      </c>
      <c r="H16" s="31">
        <f t="shared" si="6"/>
        <v>1.0735551663747811</v>
      </c>
      <c r="I16" s="31">
        <f t="shared" si="7"/>
        <v>1.0326086956521738</v>
      </c>
      <c r="J16" s="31">
        <f t="shared" si="8"/>
        <v>1.2401315789473684</v>
      </c>
      <c r="K16" s="31">
        <f t="shared" si="9"/>
        <v>1.1584158415841583</v>
      </c>
      <c r="L16" s="31">
        <f t="shared" si="10"/>
        <v>1.1463414634146341</v>
      </c>
      <c r="M16" s="31">
        <f t="shared" si="11"/>
        <v>1.0136674259681093</v>
      </c>
      <c r="N16" s="31">
        <f t="shared" si="12"/>
        <v>1.0680851063829788</v>
      </c>
      <c r="O16" s="31">
        <f t="shared" si="13"/>
        <v>1.1428571428571428</v>
      </c>
      <c r="P16" s="31">
        <f t="shared" si="14"/>
        <v>1.1580756013745706</v>
      </c>
      <c r="Q16" s="19"/>
      <c r="R16" s="19"/>
      <c r="S16" s="18" t="s">
        <v>57</v>
      </c>
      <c r="T16" s="38">
        <v>0.31</v>
      </c>
      <c r="U16" s="38">
        <v>0.379</v>
      </c>
      <c r="V16" s="38">
        <v>0.32</v>
      </c>
      <c r="W16" s="38">
        <v>0.28999999999999998</v>
      </c>
      <c r="X16" s="38">
        <v>0.33200000000000002</v>
      </c>
      <c r="Y16" s="38">
        <v>0.61299999999999999</v>
      </c>
      <c r="Z16" s="38">
        <v>0.19</v>
      </c>
      <c r="AA16" s="38">
        <v>0.377</v>
      </c>
      <c r="AB16" s="38">
        <v>0.23400000000000001</v>
      </c>
      <c r="AC16" s="38">
        <v>0.188</v>
      </c>
      <c r="AD16" s="38">
        <v>0.44500000000000001</v>
      </c>
      <c r="AE16" s="38">
        <v>0.251</v>
      </c>
      <c r="AF16" s="38">
        <v>0.36</v>
      </c>
      <c r="AG16" s="39">
        <v>0.33700000000000002</v>
      </c>
    </row>
    <row r="17" spans="2:49">
      <c r="B17" s="18" t="s">
        <v>89</v>
      </c>
      <c r="C17" s="31">
        <f t="shared" si="1"/>
        <v>0.85521885521885532</v>
      </c>
      <c r="D17" s="31">
        <f t="shared" si="2"/>
        <v>0.87202380952380942</v>
      </c>
      <c r="E17" s="31">
        <f t="shared" si="3"/>
        <v>0.87017543859649127</v>
      </c>
      <c r="F17" s="31">
        <f t="shared" si="4"/>
        <v>0.78745644599303144</v>
      </c>
      <c r="G17" s="31">
        <f t="shared" si="5"/>
        <v>0.91007194244604306</v>
      </c>
      <c r="H17" s="31">
        <f t="shared" si="6"/>
        <v>0.82486865148861643</v>
      </c>
      <c r="I17" s="31">
        <f t="shared" si="7"/>
        <v>0.84782608695652173</v>
      </c>
      <c r="J17" s="31">
        <f t="shared" si="8"/>
        <v>0.97697368421052633</v>
      </c>
      <c r="K17" s="31">
        <f t="shared" si="9"/>
        <v>0.90594059405940586</v>
      </c>
      <c r="L17" s="31">
        <f t="shared" si="10"/>
        <v>0.97560975609756095</v>
      </c>
      <c r="M17" s="31">
        <f t="shared" si="11"/>
        <v>0.79498861047835989</v>
      </c>
      <c r="N17" s="31">
        <f t="shared" si="12"/>
        <v>0.88085106382978728</v>
      </c>
      <c r="O17" s="31">
        <f t="shared" si="13"/>
        <v>0.92063492063492058</v>
      </c>
      <c r="P17" s="31">
        <f t="shared" si="14"/>
        <v>0.85567010309278357</v>
      </c>
      <c r="Q17" s="19"/>
      <c r="R17" s="19"/>
      <c r="S17" s="18" t="s">
        <v>97</v>
      </c>
      <c r="T17" s="38">
        <v>0.254</v>
      </c>
      <c r="U17" s="38">
        <v>0.29299999999999998</v>
      </c>
      <c r="V17" s="38">
        <v>0.248</v>
      </c>
      <c r="W17" s="38">
        <v>0.22600000000000001</v>
      </c>
      <c r="X17" s="38">
        <v>0.253</v>
      </c>
      <c r="Y17" s="38">
        <v>0.47099999999999997</v>
      </c>
      <c r="Z17" s="38">
        <v>0.156</v>
      </c>
      <c r="AA17" s="38">
        <v>0.29699999999999999</v>
      </c>
      <c r="AB17" s="38">
        <v>0.183</v>
      </c>
      <c r="AC17" s="38">
        <v>0.16</v>
      </c>
      <c r="AD17" s="38">
        <v>0.34899999999999998</v>
      </c>
      <c r="AE17" s="38">
        <v>0.20699999999999999</v>
      </c>
      <c r="AF17" s="38">
        <v>0.28999999999999998</v>
      </c>
      <c r="AG17" s="39">
        <v>0.249</v>
      </c>
    </row>
    <row r="18" spans="2:49">
      <c r="B18" s="46" t="s">
        <v>93</v>
      </c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25"/>
      <c r="R18" s="25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9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</row>
    <row r="19" spans="2:49">
      <c r="B19" s="17" t="s">
        <v>92</v>
      </c>
      <c r="C19" s="32">
        <f t="shared" ref="C19:P20" si="15">T19/C$6</f>
        <v>1.4276094276094276</v>
      </c>
      <c r="D19" s="32">
        <f t="shared" si="15"/>
        <v>1.0178571428571428</v>
      </c>
      <c r="E19" s="32">
        <f t="shared" si="15"/>
        <v>1.287719298245614</v>
      </c>
      <c r="F19" s="32">
        <f t="shared" si="15"/>
        <v>1.1811846689895471</v>
      </c>
      <c r="G19" s="32">
        <f t="shared" si="15"/>
        <v>1.2805755395683451</v>
      </c>
      <c r="H19" s="32">
        <f t="shared" si="15"/>
        <v>1.1208406304728546</v>
      </c>
      <c r="I19" s="32">
        <f t="shared" si="15"/>
        <v>1.0652173913043479</v>
      </c>
      <c r="J19" s="32">
        <f t="shared" si="15"/>
        <v>1.2302631578947369</v>
      </c>
      <c r="K19" s="32">
        <f t="shared" si="15"/>
        <v>1.2227722772277227</v>
      </c>
      <c r="L19" s="32">
        <f t="shared" si="15"/>
        <v>1.2195121951219512</v>
      </c>
      <c r="M19" s="32">
        <f t="shared" si="15"/>
        <v>1.0683371298405466</v>
      </c>
      <c r="N19" s="32">
        <f t="shared" si="15"/>
        <v>1.0425531914893618</v>
      </c>
      <c r="O19" s="32">
        <f t="shared" si="15"/>
        <v>1.1841269841269841</v>
      </c>
      <c r="P19" s="32">
        <f t="shared" si="15"/>
        <v>1.1786941580756016</v>
      </c>
      <c r="Q19" s="29"/>
      <c r="R19" s="29"/>
      <c r="S19" s="18" t="s">
        <v>92</v>
      </c>
      <c r="T19" s="38">
        <v>0.42399999999999999</v>
      </c>
      <c r="U19" s="38">
        <v>0.34200000000000003</v>
      </c>
      <c r="V19" s="38">
        <v>0.36699999999999999</v>
      </c>
      <c r="W19" s="38">
        <v>0.33900000000000002</v>
      </c>
      <c r="X19" s="38">
        <v>0.35599999999999998</v>
      </c>
      <c r="Y19" s="38">
        <v>0.64</v>
      </c>
      <c r="Z19" s="38">
        <v>0.19600000000000001</v>
      </c>
      <c r="AA19" s="38">
        <v>0.374</v>
      </c>
      <c r="AB19" s="38">
        <v>0.247</v>
      </c>
      <c r="AC19" s="38">
        <v>0.2</v>
      </c>
      <c r="AD19" s="38">
        <v>0.46899999999999997</v>
      </c>
      <c r="AE19" s="38">
        <v>0.245</v>
      </c>
      <c r="AF19" s="38">
        <v>0.373</v>
      </c>
      <c r="AG19" s="39">
        <v>0.34300000000000003</v>
      </c>
      <c r="AH19" s="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</row>
    <row r="20" spans="2:49">
      <c r="B20" s="17" t="s">
        <v>88</v>
      </c>
      <c r="C20" s="33">
        <f t="shared" si="15"/>
        <v>1.3232323232323233</v>
      </c>
      <c r="D20" s="33">
        <f t="shared" si="15"/>
        <v>1.1160714285714286</v>
      </c>
      <c r="E20" s="33">
        <f t="shared" si="15"/>
        <v>1.0140350877192983</v>
      </c>
      <c r="F20" s="33">
        <f t="shared" si="15"/>
        <v>1.1045296167247387</v>
      </c>
      <c r="G20" s="33">
        <f t="shared" si="15"/>
        <v>0.97841726618705038</v>
      </c>
      <c r="H20" s="33">
        <f t="shared" si="15"/>
        <v>1.0070052539404553</v>
      </c>
      <c r="I20" s="33">
        <f t="shared" si="15"/>
        <v>1.0326086956521738</v>
      </c>
      <c r="J20" s="33">
        <f t="shared" si="15"/>
        <v>1.0164473684210527</v>
      </c>
      <c r="K20" s="33">
        <f t="shared" si="15"/>
        <v>1.004950495049505</v>
      </c>
      <c r="L20" s="33">
        <f t="shared" si="15"/>
        <v>1.0304878048780488</v>
      </c>
      <c r="M20" s="33">
        <f t="shared" si="15"/>
        <v>1.0250569476082005</v>
      </c>
      <c r="N20" s="33">
        <f t="shared" si="15"/>
        <v>1.1531914893617023</v>
      </c>
      <c r="O20" s="33">
        <f t="shared" si="15"/>
        <v>1.0095238095238095</v>
      </c>
      <c r="P20" s="33">
        <f t="shared" si="15"/>
        <v>1.0171821305841924</v>
      </c>
      <c r="Q20" s="29"/>
      <c r="R20" s="29"/>
      <c r="S20" s="18" t="s">
        <v>88</v>
      </c>
      <c r="T20" s="38">
        <v>0.39300000000000002</v>
      </c>
      <c r="U20" s="38">
        <v>0.375</v>
      </c>
      <c r="V20" s="38">
        <v>0.28899999999999998</v>
      </c>
      <c r="W20" s="38">
        <v>0.317</v>
      </c>
      <c r="X20" s="38">
        <v>0.27200000000000002</v>
      </c>
      <c r="Y20" s="38">
        <v>0.57499999999999996</v>
      </c>
      <c r="Z20" s="38">
        <v>0.19</v>
      </c>
      <c r="AA20" s="38">
        <v>0.309</v>
      </c>
      <c r="AB20" s="38">
        <v>0.20300000000000001</v>
      </c>
      <c r="AC20" s="38">
        <v>0.16900000000000001</v>
      </c>
      <c r="AD20" s="38">
        <v>0.45</v>
      </c>
      <c r="AE20" s="38">
        <v>0.27100000000000002</v>
      </c>
      <c r="AF20" s="38">
        <v>0.318</v>
      </c>
      <c r="AG20" s="39">
        <v>0.29599999999999999</v>
      </c>
      <c r="AH20" s="19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</row>
    <row r="21" spans="2:49">
      <c r="B21" s="46" t="s">
        <v>90</v>
      </c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25"/>
      <c r="R21" s="25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9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</row>
    <row r="22" spans="2:49">
      <c r="B22" s="18" t="s">
        <v>59</v>
      </c>
      <c r="C22" s="32">
        <f t="shared" ref="C22:P23" si="16">T22/C$6</f>
        <v>0.95286195286195285</v>
      </c>
      <c r="D22" s="32">
        <f t="shared" si="16"/>
        <v>0.93452380952380942</v>
      </c>
      <c r="E22" s="32">
        <f t="shared" si="16"/>
        <v>1.1824561403508773</v>
      </c>
      <c r="F22" s="32">
        <f t="shared" si="16"/>
        <v>0.89895470383275267</v>
      </c>
      <c r="G22" s="32">
        <f t="shared" si="16"/>
        <v>0.98201438848920863</v>
      </c>
      <c r="H22" s="32">
        <f t="shared" si="16"/>
        <v>0.90893169877408064</v>
      </c>
      <c r="I22" s="32">
        <f t="shared" si="16"/>
        <v>0.97282608695652173</v>
      </c>
      <c r="J22" s="32">
        <f t="shared" si="16"/>
        <v>1.0657894736842106</v>
      </c>
      <c r="K22" s="32">
        <f t="shared" si="16"/>
        <v>1.0198019801980196</v>
      </c>
      <c r="L22" s="32">
        <f t="shared" si="16"/>
        <v>0.97560975609756095</v>
      </c>
      <c r="M22" s="32">
        <f t="shared" si="16"/>
        <v>0.87699316628701596</v>
      </c>
      <c r="N22" s="32">
        <f t="shared" si="16"/>
        <v>0.99148936170212776</v>
      </c>
      <c r="O22" s="32">
        <f t="shared" si="16"/>
        <v>0.91746031746031742</v>
      </c>
      <c r="P22" s="32">
        <f t="shared" si="16"/>
        <v>0.93470790378006885</v>
      </c>
      <c r="Q22" s="28"/>
      <c r="R22" s="28"/>
      <c r="S22" s="18" t="s">
        <v>59</v>
      </c>
      <c r="T22" s="38">
        <v>0.28299999999999997</v>
      </c>
      <c r="U22" s="38">
        <v>0.314</v>
      </c>
      <c r="V22" s="38">
        <v>0.33700000000000002</v>
      </c>
      <c r="W22" s="38">
        <v>0.25800000000000001</v>
      </c>
      <c r="X22" s="38">
        <v>0.27300000000000002</v>
      </c>
      <c r="Y22" s="38">
        <v>0.51900000000000002</v>
      </c>
      <c r="Z22" s="38">
        <v>0.17899999999999999</v>
      </c>
      <c r="AA22" s="38">
        <v>0.32400000000000001</v>
      </c>
      <c r="AB22" s="38">
        <v>0.20599999999999999</v>
      </c>
      <c r="AC22" s="38">
        <v>0.16</v>
      </c>
      <c r="AD22" s="38">
        <v>0.38500000000000001</v>
      </c>
      <c r="AE22" s="38">
        <v>0.23300000000000001</v>
      </c>
      <c r="AF22" s="38">
        <v>0.28899999999999998</v>
      </c>
      <c r="AG22" s="39">
        <v>0.27200000000000002</v>
      </c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</row>
    <row r="23" spans="2:49">
      <c r="B23" s="20" t="s">
        <v>60</v>
      </c>
      <c r="C23" s="33">
        <f t="shared" si="16"/>
        <v>0.94612794612794626</v>
      </c>
      <c r="D23" s="33">
        <f t="shared" si="16"/>
        <v>0.86309523809523803</v>
      </c>
      <c r="E23" s="33">
        <f t="shared" si="16"/>
        <v>1.0982456140350878</v>
      </c>
      <c r="F23" s="33">
        <f t="shared" si="16"/>
        <v>0.85714285714285721</v>
      </c>
      <c r="G23" s="33">
        <f t="shared" si="16"/>
        <v>0.96402877697841727</v>
      </c>
      <c r="H23" s="33">
        <f t="shared" si="16"/>
        <v>0.90017513134851146</v>
      </c>
      <c r="I23" s="33">
        <f t="shared" si="16"/>
        <v>0.9565217391304347</v>
      </c>
      <c r="J23" s="33">
        <f t="shared" si="16"/>
        <v>1.0460526315789473</v>
      </c>
      <c r="K23" s="33">
        <f t="shared" si="16"/>
        <v>1.004950495049505</v>
      </c>
      <c r="L23" s="33">
        <f t="shared" si="16"/>
        <v>0.95731707317073167</v>
      </c>
      <c r="M23" s="33">
        <f t="shared" si="16"/>
        <v>0.86560364464692485</v>
      </c>
      <c r="N23" s="33">
        <f t="shared" si="16"/>
        <v>0.95744680851063835</v>
      </c>
      <c r="O23" s="33">
        <f t="shared" si="16"/>
        <v>0.90476190476190466</v>
      </c>
      <c r="P23" s="33">
        <f t="shared" si="16"/>
        <v>0.90721649484536093</v>
      </c>
      <c r="Q23" s="30"/>
      <c r="R23" s="30"/>
      <c r="S23" s="18" t="s">
        <v>60</v>
      </c>
      <c r="T23" s="38">
        <v>0.28100000000000003</v>
      </c>
      <c r="U23" s="38">
        <v>0.28999999999999998</v>
      </c>
      <c r="V23" s="38">
        <v>0.313</v>
      </c>
      <c r="W23" s="38">
        <v>0.246</v>
      </c>
      <c r="X23" s="38">
        <v>0.26800000000000002</v>
      </c>
      <c r="Y23" s="38">
        <v>0.51400000000000001</v>
      </c>
      <c r="Z23" s="38">
        <v>0.17599999999999999</v>
      </c>
      <c r="AA23" s="38">
        <v>0.318</v>
      </c>
      <c r="AB23" s="38">
        <v>0.20300000000000001</v>
      </c>
      <c r="AC23" s="38">
        <v>0.157</v>
      </c>
      <c r="AD23" s="38">
        <v>0.38</v>
      </c>
      <c r="AE23" s="38">
        <v>0.22500000000000001</v>
      </c>
      <c r="AF23" s="38">
        <v>0.28499999999999998</v>
      </c>
      <c r="AG23" s="39">
        <v>0.26400000000000001</v>
      </c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</row>
    <row r="24" spans="2:49">
      <c r="B24" s="45" t="s">
        <v>98</v>
      </c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S24" s="18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</row>
    <row r="25" spans="2:49">
      <c r="B25" s="20" t="s">
        <v>61</v>
      </c>
      <c r="C25" s="22">
        <f>T25</f>
        <v>10</v>
      </c>
      <c r="D25" s="22">
        <f t="shared" ref="D25:P36" si="17">U25</f>
        <v>10.8</v>
      </c>
      <c r="E25" s="22">
        <f t="shared" si="17"/>
        <v>10.1</v>
      </c>
      <c r="F25" s="22">
        <f t="shared" si="17"/>
        <v>10.5</v>
      </c>
      <c r="G25" s="22">
        <f t="shared" si="17"/>
        <v>10.1</v>
      </c>
      <c r="H25" s="22">
        <f t="shared" si="17"/>
        <v>11</v>
      </c>
      <c r="I25" s="22">
        <f t="shared" si="17"/>
        <v>9.9</v>
      </c>
      <c r="J25" s="22">
        <f t="shared" si="17"/>
        <v>10.199999999999999</v>
      </c>
      <c r="K25" s="22">
        <f t="shared" si="17"/>
        <v>9.6</v>
      </c>
      <c r="L25" s="22">
        <f t="shared" si="17"/>
        <v>9.4</v>
      </c>
      <c r="M25" s="22">
        <f t="shared" si="17"/>
        <v>9.9</v>
      </c>
      <c r="N25" s="22">
        <f t="shared" si="17"/>
        <v>10.4</v>
      </c>
      <c r="O25" s="22">
        <f t="shared" si="17"/>
        <v>10.5</v>
      </c>
      <c r="P25" s="22">
        <f t="shared" si="17"/>
        <v>10</v>
      </c>
      <c r="S25" s="18" t="s">
        <v>30</v>
      </c>
      <c r="T25" s="9">
        <v>10</v>
      </c>
      <c r="U25" s="9">
        <v>10.8</v>
      </c>
      <c r="V25" s="9">
        <v>10.1</v>
      </c>
      <c r="W25" s="9">
        <v>10.5</v>
      </c>
      <c r="X25" s="9">
        <v>10.1</v>
      </c>
      <c r="Y25" s="9">
        <v>11</v>
      </c>
      <c r="Z25" s="9">
        <v>9.9</v>
      </c>
      <c r="AA25" s="9">
        <v>10.199999999999999</v>
      </c>
      <c r="AB25" s="9">
        <v>9.6</v>
      </c>
      <c r="AC25" s="9">
        <v>9.4</v>
      </c>
      <c r="AD25" s="9">
        <v>9.9</v>
      </c>
      <c r="AE25" s="9">
        <v>10.4</v>
      </c>
      <c r="AF25" s="9">
        <v>10.5</v>
      </c>
      <c r="AG25" s="9">
        <v>10</v>
      </c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</row>
    <row r="26" spans="2:49">
      <c r="B26" s="18" t="s">
        <v>48</v>
      </c>
      <c r="C26" s="24">
        <f>T26</f>
        <v>13.7</v>
      </c>
      <c r="D26" s="24">
        <f t="shared" si="17"/>
        <v>9.6</v>
      </c>
      <c r="E26" s="24">
        <f t="shared" si="17"/>
        <v>10.4</v>
      </c>
      <c r="F26" s="24">
        <f t="shared" si="17"/>
        <v>10.4</v>
      </c>
      <c r="G26" s="24">
        <f t="shared" si="17"/>
        <v>10.199999999999999</v>
      </c>
      <c r="H26" s="24">
        <f t="shared" si="17"/>
        <v>10.6</v>
      </c>
      <c r="I26" s="24">
        <f t="shared" si="17"/>
        <v>10</v>
      </c>
      <c r="J26" s="24">
        <f t="shared" si="17"/>
        <v>11.4</v>
      </c>
      <c r="K26" s="24">
        <f t="shared" si="17"/>
        <v>9.5</v>
      </c>
      <c r="L26" s="24">
        <f t="shared" si="17"/>
        <v>13.2</v>
      </c>
      <c r="M26" s="24">
        <f t="shared" si="17"/>
        <v>12.2</v>
      </c>
      <c r="N26" s="24">
        <f t="shared" si="17"/>
        <v>12</v>
      </c>
      <c r="O26" s="24">
        <f t="shared" si="17"/>
        <v>10.4</v>
      </c>
      <c r="P26" s="24">
        <f t="shared" si="17"/>
        <v>11.3</v>
      </c>
      <c r="S26" s="18" t="s">
        <v>76</v>
      </c>
      <c r="T26" s="9">
        <v>13.7</v>
      </c>
      <c r="U26" s="9">
        <v>9.6</v>
      </c>
      <c r="V26" s="9">
        <v>10.4</v>
      </c>
      <c r="W26" s="9">
        <v>10.4</v>
      </c>
      <c r="X26" s="9">
        <v>10.199999999999999</v>
      </c>
      <c r="Y26" s="9">
        <v>10.6</v>
      </c>
      <c r="Z26" s="9">
        <v>10</v>
      </c>
      <c r="AA26" s="9">
        <v>11.4</v>
      </c>
      <c r="AB26" s="9">
        <v>9.5</v>
      </c>
      <c r="AC26" s="9">
        <v>13.2</v>
      </c>
      <c r="AD26" s="9">
        <v>12.2</v>
      </c>
      <c r="AE26" s="9">
        <v>12</v>
      </c>
      <c r="AF26" s="9">
        <v>10.4</v>
      </c>
      <c r="AG26" s="9">
        <v>11.3</v>
      </c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</row>
    <row r="27" spans="2:49">
      <c r="B27" s="18" t="s">
        <v>58</v>
      </c>
      <c r="C27" s="24">
        <f t="shared" ref="C27:C35" si="18">T27</f>
        <v>8.4</v>
      </c>
      <c r="D27" s="24">
        <f t="shared" si="17"/>
        <v>8.1999999999999993</v>
      </c>
      <c r="E27" s="24">
        <f t="shared" si="17"/>
        <v>8.8000000000000007</v>
      </c>
      <c r="F27" s="24">
        <f t="shared" si="17"/>
        <v>8.5</v>
      </c>
      <c r="G27" s="24">
        <f t="shared" si="17"/>
        <v>9.1</v>
      </c>
      <c r="H27" s="24">
        <f t="shared" si="17"/>
        <v>9</v>
      </c>
      <c r="I27" s="24">
        <f t="shared" si="17"/>
        <v>9.1999999999999993</v>
      </c>
      <c r="J27" s="24">
        <f t="shared" si="17"/>
        <v>9.1999999999999993</v>
      </c>
      <c r="K27" s="24">
        <f t="shared" si="17"/>
        <v>9.9</v>
      </c>
      <c r="L27" s="24">
        <f t="shared" si="17"/>
        <v>9.1999999999999993</v>
      </c>
      <c r="M27" s="24">
        <f t="shared" si="17"/>
        <v>8.9</v>
      </c>
      <c r="N27" s="24">
        <f t="shared" si="17"/>
        <v>9.3000000000000007</v>
      </c>
      <c r="O27" s="24">
        <f t="shared" si="17"/>
        <v>8.8000000000000007</v>
      </c>
      <c r="P27" s="24">
        <f t="shared" si="17"/>
        <v>8.8000000000000007</v>
      </c>
      <c r="Q27" s="23"/>
      <c r="R27" s="23"/>
      <c r="S27" s="18" t="s">
        <v>77</v>
      </c>
      <c r="T27" s="9">
        <v>8.4</v>
      </c>
      <c r="U27" s="9">
        <v>8.1999999999999993</v>
      </c>
      <c r="V27" s="9">
        <v>8.8000000000000007</v>
      </c>
      <c r="W27" s="9">
        <v>8.5</v>
      </c>
      <c r="X27" s="9">
        <v>9.1</v>
      </c>
      <c r="Y27" s="9">
        <v>9</v>
      </c>
      <c r="Z27" s="9">
        <v>9.1999999999999993</v>
      </c>
      <c r="AA27" s="9">
        <v>9.1999999999999993</v>
      </c>
      <c r="AB27" s="9">
        <v>9.9</v>
      </c>
      <c r="AC27" s="9">
        <v>9.1999999999999993</v>
      </c>
      <c r="AD27" s="9">
        <v>8.9</v>
      </c>
      <c r="AE27" s="9">
        <v>9.3000000000000007</v>
      </c>
      <c r="AF27" s="9">
        <v>8.8000000000000007</v>
      </c>
      <c r="AG27" s="9">
        <v>8.8000000000000007</v>
      </c>
      <c r="AH27" s="2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</row>
    <row r="28" spans="2:49" ht="14.45" customHeight="1">
      <c r="B28" s="18" t="s">
        <v>29</v>
      </c>
      <c r="C28" s="24">
        <f t="shared" si="18"/>
        <v>12.2</v>
      </c>
      <c r="D28" s="24">
        <f t="shared" si="17"/>
        <v>12.1</v>
      </c>
      <c r="E28" s="24">
        <f t="shared" si="17"/>
        <v>11.8</v>
      </c>
      <c r="F28" s="24">
        <f t="shared" si="17"/>
        <v>12.5</v>
      </c>
      <c r="G28" s="24">
        <f t="shared" si="17"/>
        <v>11.8</v>
      </c>
      <c r="H28" s="24">
        <f t="shared" si="17"/>
        <v>12.9</v>
      </c>
      <c r="I28" s="24">
        <f t="shared" si="17"/>
        <v>12.8</v>
      </c>
      <c r="J28" s="24">
        <f t="shared" si="17"/>
        <v>12.1</v>
      </c>
      <c r="K28" s="24">
        <f t="shared" si="17"/>
        <v>12.1</v>
      </c>
      <c r="L28" s="24">
        <f t="shared" si="17"/>
        <v>10.8</v>
      </c>
      <c r="M28" s="24">
        <f t="shared" si="17"/>
        <v>11.7</v>
      </c>
      <c r="N28" s="24">
        <f t="shared" si="17"/>
        <v>12.9</v>
      </c>
      <c r="O28" s="24">
        <f t="shared" si="17"/>
        <v>12.1</v>
      </c>
      <c r="P28" s="24">
        <f t="shared" si="17"/>
        <v>11.6</v>
      </c>
      <c r="Q28" s="23"/>
      <c r="R28" s="23"/>
      <c r="S28" s="18" t="s">
        <v>29</v>
      </c>
      <c r="T28" s="9">
        <v>12.2</v>
      </c>
      <c r="U28" s="9">
        <v>12.1</v>
      </c>
      <c r="V28" s="9">
        <v>11.8</v>
      </c>
      <c r="W28" s="9">
        <v>12.5</v>
      </c>
      <c r="X28" s="9">
        <v>11.8</v>
      </c>
      <c r="Y28" s="9">
        <v>12.9</v>
      </c>
      <c r="Z28" s="9">
        <v>12.8</v>
      </c>
      <c r="AA28" s="9">
        <v>12.1</v>
      </c>
      <c r="AB28" s="9">
        <v>12.1</v>
      </c>
      <c r="AC28" s="9">
        <v>10.8</v>
      </c>
      <c r="AD28" s="9">
        <v>11.7</v>
      </c>
      <c r="AE28" s="9">
        <v>12.9</v>
      </c>
      <c r="AF28" s="9">
        <v>12.1</v>
      </c>
      <c r="AG28" s="9">
        <v>11.6</v>
      </c>
      <c r="AH28" s="2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</row>
    <row r="29" spans="2:49" ht="14.45" customHeight="1">
      <c r="B29" s="18" t="s">
        <v>31</v>
      </c>
      <c r="C29" s="24">
        <f t="shared" si="18"/>
        <v>10.199999999999999</v>
      </c>
      <c r="D29" s="24">
        <f t="shared" si="17"/>
        <v>9.8000000000000007</v>
      </c>
      <c r="E29" s="24">
        <f t="shared" si="17"/>
        <v>10</v>
      </c>
      <c r="F29" s="24">
        <f t="shared" si="17"/>
        <v>10.4</v>
      </c>
      <c r="G29" s="24">
        <f t="shared" si="17"/>
        <v>9.6</v>
      </c>
      <c r="H29" s="24">
        <f t="shared" si="17"/>
        <v>10.199999999999999</v>
      </c>
      <c r="I29" s="24">
        <f t="shared" si="17"/>
        <v>10.3</v>
      </c>
      <c r="J29" s="24">
        <f t="shared" si="17"/>
        <v>9.5</v>
      </c>
      <c r="K29" s="24">
        <f t="shared" si="17"/>
        <v>10.5</v>
      </c>
      <c r="L29" s="24">
        <f t="shared" si="17"/>
        <v>9.6</v>
      </c>
      <c r="M29" s="24">
        <f t="shared" si="17"/>
        <v>9.8000000000000007</v>
      </c>
      <c r="N29" s="24">
        <f t="shared" si="17"/>
        <v>9.5</v>
      </c>
      <c r="O29" s="24">
        <f t="shared" si="17"/>
        <v>10.1</v>
      </c>
      <c r="P29" s="24">
        <f t="shared" si="17"/>
        <v>10.1</v>
      </c>
      <c r="Q29" s="23"/>
      <c r="R29" s="23"/>
      <c r="S29" s="18" t="s">
        <v>31</v>
      </c>
      <c r="T29" s="9">
        <v>10.199999999999999</v>
      </c>
      <c r="U29" s="9">
        <v>9.8000000000000007</v>
      </c>
      <c r="V29" s="9">
        <v>10</v>
      </c>
      <c r="W29" s="9">
        <v>10.4</v>
      </c>
      <c r="X29" s="9">
        <v>9.6</v>
      </c>
      <c r="Y29" s="9">
        <v>10.199999999999999</v>
      </c>
      <c r="Z29" s="9">
        <v>10.3</v>
      </c>
      <c r="AA29" s="9">
        <v>9.5</v>
      </c>
      <c r="AB29" s="9">
        <v>10.5</v>
      </c>
      <c r="AC29" s="9">
        <v>9.6</v>
      </c>
      <c r="AD29" s="9">
        <v>9.8000000000000007</v>
      </c>
      <c r="AE29" s="9">
        <v>9.5</v>
      </c>
      <c r="AF29" s="9">
        <v>10.1</v>
      </c>
      <c r="AG29" s="9">
        <v>10.1</v>
      </c>
      <c r="AH29" s="2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</row>
    <row r="30" spans="2:49">
      <c r="B30" s="18" t="s">
        <v>32</v>
      </c>
      <c r="C30" s="24">
        <f t="shared" si="18"/>
        <v>10</v>
      </c>
      <c r="D30" s="24">
        <f t="shared" si="17"/>
        <v>9.9</v>
      </c>
      <c r="E30" s="24">
        <f t="shared" si="17"/>
        <v>9.8000000000000007</v>
      </c>
      <c r="F30" s="24">
        <f t="shared" si="17"/>
        <v>10.5</v>
      </c>
      <c r="G30" s="24">
        <f t="shared" si="17"/>
        <v>9.8000000000000007</v>
      </c>
      <c r="H30" s="24">
        <f t="shared" si="17"/>
        <v>10.199999999999999</v>
      </c>
      <c r="I30" s="24">
        <f t="shared" si="17"/>
        <v>10.5</v>
      </c>
      <c r="J30" s="24">
        <f t="shared" si="17"/>
        <v>9.5</v>
      </c>
      <c r="K30" s="24">
        <f t="shared" si="17"/>
        <v>10.3</v>
      </c>
      <c r="L30" s="24">
        <f t="shared" si="17"/>
        <v>10.1</v>
      </c>
      <c r="M30" s="24">
        <f t="shared" si="17"/>
        <v>10.199999999999999</v>
      </c>
      <c r="N30" s="24">
        <f t="shared" si="17"/>
        <v>9.5</v>
      </c>
      <c r="O30" s="24">
        <f t="shared" si="17"/>
        <v>10.1</v>
      </c>
      <c r="P30" s="24">
        <f t="shared" si="17"/>
        <v>9.9</v>
      </c>
      <c r="Q30" s="27"/>
      <c r="R30" s="27"/>
      <c r="S30" s="18" t="s">
        <v>32</v>
      </c>
      <c r="T30" s="9">
        <v>10</v>
      </c>
      <c r="U30" s="9">
        <v>9.9</v>
      </c>
      <c r="V30" s="9">
        <v>9.8000000000000007</v>
      </c>
      <c r="W30" s="9">
        <v>10.5</v>
      </c>
      <c r="X30" s="9">
        <v>9.8000000000000007</v>
      </c>
      <c r="Y30" s="9">
        <v>10.199999999999999</v>
      </c>
      <c r="Z30" s="9">
        <v>10.5</v>
      </c>
      <c r="AA30" s="9">
        <v>9.5</v>
      </c>
      <c r="AB30" s="9">
        <v>10.3</v>
      </c>
      <c r="AC30" s="9">
        <v>10.1</v>
      </c>
      <c r="AD30" s="9">
        <v>10.199999999999999</v>
      </c>
      <c r="AE30" s="9">
        <v>9.5</v>
      </c>
      <c r="AF30" s="9">
        <v>10.1</v>
      </c>
      <c r="AG30" s="9">
        <v>9.9</v>
      </c>
      <c r="AH30" s="2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</row>
    <row r="31" spans="2:49">
      <c r="B31" s="18" t="s">
        <v>33</v>
      </c>
      <c r="C31" s="24">
        <f t="shared" si="18"/>
        <v>10</v>
      </c>
      <c r="D31" s="24">
        <f t="shared" si="17"/>
        <v>9.9</v>
      </c>
      <c r="E31" s="24">
        <f t="shared" si="17"/>
        <v>10.3</v>
      </c>
      <c r="F31" s="24">
        <f t="shared" si="17"/>
        <v>10.1</v>
      </c>
      <c r="G31" s="24">
        <f t="shared" si="17"/>
        <v>9.8000000000000007</v>
      </c>
      <c r="H31" s="24">
        <f t="shared" si="17"/>
        <v>10.1</v>
      </c>
      <c r="I31" s="24">
        <f t="shared" si="17"/>
        <v>11.2</v>
      </c>
      <c r="J31" s="24">
        <f t="shared" si="17"/>
        <v>9.6999999999999993</v>
      </c>
      <c r="K31" s="24">
        <f t="shared" si="17"/>
        <v>10.5</v>
      </c>
      <c r="L31" s="24">
        <f t="shared" si="17"/>
        <v>9.8000000000000007</v>
      </c>
      <c r="M31" s="24">
        <f t="shared" si="17"/>
        <v>10.199999999999999</v>
      </c>
      <c r="N31" s="24">
        <f t="shared" si="17"/>
        <v>9.6999999999999993</v>
      </c>
      <c r="O31" s="24">
        <f t="shared" si="17"/>
        <v>10</v>
      </c>
      <c r="P31" s="24">
        <f t="shared" si="17"/>
        <v>9.9</v>
      </c>
      <c r="Q31" s="27"/>
      <c r="R31" s="27"/>
      <c r="S31" s="18" t="s">
        <v>33</v>
      </c>
      <c r="T31" s="9">
        <v>10</v>
      </c>
      <c r="U31" s="9">
        <v>9.9</v>
      </c>
      <c r="V31" s="9">
        <v>10.3</v>
      </c>
      <c r="W31" s="9">
        <v>10.1</v>
      </c>
      <c r="X31" s="9">
        <v>9.8000000000000007</v>
      </c>
      <c r="Y31" s="9">
        <v>10.1</v>
      </c>
      <c r="Z31" s="9">
        <v>11.2</v>
      </c>
      <c r="AA31" s="9">
        <v>9.6999999999999993</v>
      </c>
      <c r="AB31" s="9">
        <v>10.5</v>
      </c>
      <c r="AC31" s="9">
        <v>9.8000000000000007</v>
      </c>
      <c r="AD31" s="9">
        <v>10.199999999999999</v>
      </c>
      <c r="AE31" s="9">
        <v>9.6999999999999993</v>
      </c>
      <c r="AF31" s="9">
        <v>10</v>
      </c>
      <c r="AG31" s="9">
        <v>9.9</v>
      </c>
      <c r="AH31" s="2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</row>
    <row r="32" spans="2:49">
      <c r="B32" s="18" t="s">
        <v>95</v>
      </c>
      <c r="C32" s="24">
        <f t="shared" si="18"/>
        <v>10</v>
      </c>
      <c r="D32" s="24">
        <f t="shared" si="17"/>
        <v>11</v>
      </c>
      <c r="E32" s="24">
        <f t="shared" si="17"/>
        <v>10.7</v>
      </c>
      <c r="F32" s="24">
        <f t="shared" si="17"/>
        <v>10.4</v>
      </c>
      <c r="G32" s="24">
        <f t="shared" si="17"/>
        <v>11</v>
      </c>
      <c r="H32" s="24">
        <f t="shared" si="17"/>
        <v>9.9</v>
      </c>
      <c r="I32" s="24">
        <f t="shared" si="17"/>
        <v>10.4</v>
      </c>
      <c r="J32" s="24">
        <f t="shared" si="17"/>
        <v>10.8</v>
      </c>
      <c r="K32" s="24">
        <f t="shared" si="17"/>
        <v>10.8</v>
      </c>
      <c r="L32" s="24">
        <f t="shared" si="17"/>
        <v>11.2</v>
      </c>
      <c r="M32" s="24">
        <f t="shared" si="17"/>
        <v>10.4</v>
      </c>
      <c r="N32" s="24">
        <f t="shared" si="17"/>
        <v>10.3</v>
      </c>
      <c r="O32" s="24">
        <f t="shared" si="17"/>
        <v>10.3</v>
      </c>
      <c r="P32" s="24">
        <f t="shared" si="17"/>
        <v>10.8</v>
      </c>
      <c r="Q32" s="27"/>
      <c r="R32" s="27"/>
      <c r="S32" s="18" t="s">
        <v>79</v>
      </c>
      <c r="T32" s="9">
        <v>10</v>
      </c>
      <c r="U32" s="9">
        <v>11</v>
      </c>
      <c r="V32" s="9">
        <v>10.7</v>
      </c>
      <c r="W32" s="9">
        <v>10.4</v>
      </c>
      <c r="X32" s="9">
        <v>11</v>
      </c>
      <c r="Y32" s="9">
        <v>9.9</v>
      </c>
      <c r="Z32" s="9">
        <v>10.4</v>
      </c>
      <c r="AA32" s="9">
        <v>10.8</v>
      </c>
      <c r="AB32" s="9">
        <v>10.8</v>
      </c>
      <c r="AC32" s="9">
        <v>11.2</v>
      </c>
      <c r="AD32" s="9">
        <v>10.4</v>
      </c>
      <c r="AE32" s="9">
        <v>10.3</v>
      </c>
      <c r="AF32" s="9">
        <v>10.3</v>
      </c>
      <c r="AG32" s="9">
        <v>10.8</v>
      </c>
      <c r="AH32" s="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</row>
    <row r="33" spans="2:49">
      <c r="B33" s="18" t="s">
        <v>94</v>
      </c>
      <c r="C33" s="24">
        <f t="shared" si="18"/>
        <v>8.8000000000000007</v>
      </c>
      <c r="D33" s="24">
        <f t="shared" si="17"/>
        <v>10.199999999999999</v>
      </c>
      <c r="E33" s="24">
        <f t="shared" si="17"/>
        <v>9.5</v>
      </c>
      <c r="F33" s="24">
        <f t="shared" si="17"/>
        <v>9</v>
      </c>
      <c r="G33" s="24">
        <f t="shared" si="17"/>
        <v>9.6</v>
      </c>
      <c r="H33" s="24">
        <f t="shared" si="17"/>
        <v>8.9</v>
      </c>
      <c r="I33" s="24">
        <f t="shared" si="17"/>
        <v>9.1999999999999993</v>
      </c>
      <c r="J33" s="24">
        <f t="shared" si="17"/>
        <v>9.6999999999999993</v>
      </c>
      <c r="K33" s="24">
        <f t="shared" si="17"/>
        <v>9.5</v>
      </c>
      <c r="L33" s="24">
        <f t="shared" si="17"/>
        <v>10.1</v>
      </c>
      <c r="M33" s="24">
        <f t="shared" si="17"/>
        <v>9.4</v>
      </c>
      <c r="N33" s="24">
        <f t="shared" si="17"/>
        <v>9.3000000000000007</v>
      </c>
      <c r="O33" s="24">
        <f t="shared" si="17"/>
        <v>9.4</v>
      </c>
      <c r="P33" s="24">
        <f t="shared" si="17"/>
        <v>9.6</v>
      </c>
      <c r="Q33" s="27"/>
      <c r="R33" s="27"/>
      <c r="S33" s="18" t="s">
        <v>78</v>
      </c>
      <c r="T33" s="9">
        <v>8.8000000000000007</v>
      </c>
      <c r="U33" s="9">
        <v>10.199999999999999</v>
      </c>
      <c r="V33" s="9">
        <v>9.5</v>
      </c>
      <c r="W33" s="9">
        <v>9</v>
      </c>
      <c r="X33" s="9">
        <v>9.6</v>
      </c>
      <c r="Y33" s="9">
        <v>8.9</v>
      </c>
      <c r="Z33" s="9">
        <v>9.1999999999999993</v>
      </c>
      <c r="AA33" s="9">
        <v>9.6999999999999993</v>
      </c>
      <c r="AB33" s="9">
        <v>9.5</v>
      </c>
      <c r="AC33" s="9">
        <v>10.1</v>
      </c>
      <c r="AD33" s="9">
        <v>9.4</v>
      </c>
      <c r="AE33" s="9">
        <v>9.3000000000000007</v>
      </c>
      <c r="AF33" s="9">
        <v>9.4</v>
      </c>
      <c r="AG33" s="9">
        <v>9.6</v>
      </c>
      <c r="AH33" s="2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</row>
    <row r="34" spans="2:49">
      <c r="B34" s="17" t="s">
        <v>91</v>
      </c>
      <c r="C34" s="24">
        <f t="shared" si="18"/>
        <v>10.199999999999999</v>
      </c>
      <c r="D34" s="24">
        <f t="shared" si="17"/>
        <v>9.5</v>
      </c>
      <c r="E34" s="24">
        <f t="shared" si="17"/>
        <v>10.1</v>
      </c>
      <c r="F34" s="24">
        <f t="shared" si="17"/>
        <v>10.3</v>
      </c>
      <c r="G34" s="24">
        <f t="shared" si="17"/>
        <v>10.1</v>
      </c>
      <c r="H34" s="24">
        <f t="shared" si="17"/>
        <v>9.6999999999999993</v>
      </c>
      <c r="I34" s="24">
        <f t="shared" si="17"/>
        <v>10.1</v>
      </c>
      <c r="J34" s="24">
        <f t="shared" si="17"/>
        <v>10.199999999999999</v>
      </c>
      <c r="K34" s="24">
        <f t="shared" si="17"/>
        <v>10.5</v>
      </c>
      <c r="L34" s="24">
        <f t="shared" si="17"/>
        <v>10.199999999999999</v>
      </c>
      <c r="M34" s="24">
        <f t="shared" si="17"/>
        <v>9.9</v>
      </c>
      <c r="N34" s="24">
        <f t="shared" si="17"/>
        <v>10.1</v>
      </c>
      <c r="O34" s="24">
        <f t="shared" si="17"/>
        <v>9.6999999999999993</v>
      </c>
      <c r="P34" s="24">
        <f t="shared" si="17"/>
        <v>10.1</v>
      </c>
      <c r="Q34" s="27"/>
      <c r="R34" s="27"/>
      <c r="S34" s="18" t="s">
        <v>83</v>
      </c>
      <c r="T34" s="9">
        <v>10.199999999999999</v>
      </c>
      <c r="U34" s="9">
        <v>9.5</v>
      </c>
      <c r="V34" s="9">
        <v>10.1</v>
      </c>
      <c r="W34" s="9">
        <v>10.3</v>
      </c>
      <c r="X34" s="9">
        <v>10.1</v>
      </c>
      <c r="Y34" s="9">
        <v>9.6999999999999993</v>
      </c>
      <c r="Z34" s="9">
        <v>10.1</v>
      </c>
      <c r="AA34" s="9">
        <v>10.199999999999999</v>
      </c>
      <c r="AB34" s="9">
        <v>10.5</v>
      </c>
      <c r="AC34" s="9">
        <v>10.199999999999999</v>
      </c>
      <c r="AD34" s="9">
        <v>9.9</v>
      </c>
      <c r="AE34" s="9">
        <v>10.1</v>
      </c>
      <c r="AF34" s="9">
        <v>9.6999999999999993</v>
      </c>
      <c r="AG34" s="9">
        <v>10.1</v>
      </c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</row>
    <row r="35" spans="2:49">
      <c r="B35" s="17" t="s">
        <v>57</v>
      </c>
      <c r="C35" s="24">
        <f t="shared" si="18"/>
        <v>9.5</v>
      </c>
      <c r="D35" s="24">
        <f t="shared" si="17"/>
        <v>10.5</v>
      </c>
      <c r="E35" s="24">
        <f t="shared" si="17"/>
        <v>10.1</v>
      </c>
      <c r="F35" s="24">
        <f t="shared" si="17"/>
        <v>10.4</v>
      </c>
      <c r="G35" s="24">
        <f t="shared" si="17"/>
        <v>10.7</v>
      </c>
      <c r="H35" s="24">
        <f t="shared" si="17"/>
        <v>10.3</v>
      </c>
      <c r="I35" s="24">
        <f t="shared" si="17"/>
        <v>10</v>
      </c>
      <c r="J35" s="24">
        <f t="shared" si="17"/>
        <v>10.1</v>
      </c>
      <c r="K35" s="24">
        <f t="shared" si="17"/>
        <v>10.8</v>
      </c>
      <c r="L35" s="24">
        <f t="shared" si="17"/>
        <v>10.199999999999999</v>
      </c>
      <c r="M35" s="24">
        <f t="shared" si="17"/>
        <v>10.1</v>
      </c>
      <c r="N35" s="24">
        <f t="shared" si="17"/>
        <v>10.199999999999999</v>
      </c>
      <c r="O35" s="24">
        <f t="shared" si="17"/>
        <v>10.6</v>
      </c>
      <c r="P35" s="24">
        <f t="shared" si="17"/>
        <v>10.3</v>
      </c>
      <c r="Q35" s="27"/>
      <c r="R35" s="27"/>
      <c r="S35" s="18" t="s">
        <v>81</v>
      </c>
      <c r="T35" s="9">
        <v>9.5</v>
      </c>
      <c r="U35" s="9">
        <v>10.5</v>
      </c>
      <c r="V35" s="9">
        <v>10.1</v>
      </c>
      <c r="W35" s="9">
        <v>10.4</v>
      </c>
      <c r="X35" s="9">
        <v>10.7</v>
      </c>
      <c r="Y35" s="9">
        <v>10.3</v>
      </c>
      <c r="Z35" s="9">
        <v>10</v>
      </c>
      <c r="AA35" s="9">
        <v>10.1</v>
      </c>
      <c r="AB35" s="9">
        <v>10.8</v>
      </c>
      <c r="AC35" s="9">
        <v>10.199999999999999</v>
      </c>
      <c r="AD35" s="9">
        <v>10.1</v>
      </c>
      <c r="AE35" s="9">
        <v>10.199999999999999</v>
      </c>
      <c r="AF35" s="9">
        <v>10.6</v>
      </c>
      <c r="AG35" s="9">
        <v>10.3</v>
      </c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</row>
    <row r="36" spans="2:49">
      <c r="B36" s="18" t="s">
        <v>89</v>
      </c>
      <c r="C36" s="24">
        <f>T36</f>
        <v>8.1</v>
      </c>
      <c r="D36" s="24">
        <f t="shared" si="17"/>
        <v>9.3000000000000007</v>
      </c>
      <c r="E36" s="24">
        <f t="shared" si="17"/>
        <v>8.8000000000000007</v>
      </c>
      <c r="F36" s="24">
        <f t="shared" si="17"/>
        <v>8.6</v>
      </c>
      <c r="G36" s="24">
        <f t="shared" si="17"/>
        <v>9.1</v>
      </c>
      <c r="H36" s="24">
        <f t="shared" si="17"/>
        <v>8.6999999999999993</v>
      </c>
      <c r="I36" s="24">
        <f t="shared" si="17"/>
        <v>8.6</v>
      </c>
      <c r="J36" s="24">
        <f t="shared" si="17"/>
        <v>9.1</v>
      </c>
      <c r="K36" s="24">
        <f t="shared" si="17"/>
        <v>9.1999999999999993</v>
      </c>
      <c r="L36" s="24">
        <f t="shared" si="17"/>
        <v>9.1999999999999993</v>
      </c>
      <c r="M36" s="24">
        <f t="shared" si="17"/>
        <v>8.9</v>
      </c>
      <c r="N36" s="24">
        <f t="shared" si="17"/>
        <v>8.5</v>
      </c>
      <c r="O36" s="24">
        <f t="shared" si="17"/>
        <v>8.8000000000000007</v>
      </c>
      <c r="P36" s="24">
        <f t="shared" si="17"/>
        <v>8.9</v>
      </c>
      <c r="Q36" s="27"/>
      <c r="R36" s="27"/>
      <c r="S36" s="18" t="s">
        <v>80</v>
      </c>
      <c r="T36" s="9">
        <v>8.1</v>
      </c>
      <c r="U36" s="9">
        <v>9.3000000000000007</v>
      </c>
      <c r="V36" s="9">
        <v>8.8000000000000007</v>
      </c>
      <c r="W36" s="9">
        <v>8.6</v>
      </c>
      <c r="X36" s="9">
        <v>9.1</v>
      </c>
      <c r="Y36" s="9">
        <v>8.6999999999999993</v>
      </c>
      <c r="Z36" s="9">
        <v>8.6</v>
      </c>
      <c r="AA36" s="9">
        <v>9.1</v>
      </c>
      <c r="AB36" s="9">
        <v>9.1999999999999993</v>
      </c>
      <c r="AC36" s="9">
        <v>9.1999999999999993</v>
      </c>
      <c r="AD36" s="9">
        <v>8.9</v>
      </c>
      <c r="AE36" s="9">
        <v>8.5</v>
      </c>
      <c r="AF36" s="9">
        <v>8.8000000000000007</v>
      </c>
      <c r="AG36" s="9">
        <v>8.9</v>
      </c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</row>
    <row r="37" spans="2:49">
      <c r="B37" s="46" t="s">
        <v>99</v>
      </c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27"/>
      <c r="R37" s="27"/>
      <c r="S37" s="18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</row>
    <row r="38" spans="2:49">
      <c r="B38" s="17" t="s">
        <v>92</v>
      </c>
      <c r="C38" s="34">
        <f>T38</f>
        <v>10.4</v>
      </c>
      <c r="D38" s="34">
        <f t="shared" ref="D38:P39" si="19">U38</f>
        <v>9.6999999999999993</v>
      </c>
      <c r="E38" s="34">
        <f t="shared" si="19"/>
        <v>10.3</v>
      </c>
      <c r="F38" s="34">
        <f t="shared" si="19"/>
        <v>10.199999999999999</v>
      </c>
      <c r="G38" s="34">
        <f t="shared" si="19"/>
        <v>10.1</v>
      </c>
      <c r="H38" s="34">
        <f t="shared" si="19"/>
        <v>9.6999999999999993</v>
      </c>
      <c r="I38" s="34">
        <f t="shared" si="19"/>
        <v>10</v>
      </c>
      <c r="J38" s="34">
        <f t="shared" si="19"/>
        <v>10.199999999999999</v>
      </c>
      <c r="K38" s="34">
        <f t="shared" si="19"/>
        <v>10.3</v>
      </c>
      <c r="L38" s="34">
        <f t="shared" si="19"/>
        <v>10.3</v>
      </c>
      <c r="M38" s="34">
        <f t="shared" si="19"/>
        <v>10.1</v>
      </c>
      <c r="N38" s="34">
        <f t="shared" si="19"/>
        <v>9.9</v>
      </c>
      <c r="O38" s="34">
        <f t="shared" si="19"/>
        <v>10.1</v>
      </c>
      <c r="P38" s="34">
        <f t="shared" si="19"/>
        <v>10.199999999999999</v>
      </c>
      <c r="Q38" s="27"/>
      <c r="R38" s="27"/>
      <c r="S38" s="18" t="s">
        <v>84</v>
      </c>
      <c r="T38" s="9">
        <v>10.4</v>
      </c>
      <c r="U38" s="9">
        <v>9.6999999999999993</v>
      </c>
      <c r="V38" s="9">
        <v>10.3</v>
      </c>
      <c r="W38" s="9">
        <v>10.199999999999999</v>
      </c>
      <c r="X38" s="9">
        <v>10.1</v>
      </c>
      <c r="Y38" s="9">
        <v>9.6999999999999993</v>
      </c>
      <c r="Z38" s="9">
        <v>10</v>
      </c>
      <c r="AA38" s="9">
        <v>10.199999999999999</v>
      </c>
      <c r="AB38" s="9">
        <v>10.3</v>
      </c>
      <c r="AC38" s="9">
        <v>10.3</v>
      </c>
      <c r="AD38" s="9">
        <v>10.1</v>
      </c>
      <c r="AE38" s="9">
        <v>9.9</v>
      </c>
      <c r="AF38" s="9">
        <v>10.1</v>
      </c>
      <c r="AG38" s="9">
        <v>10.199999999999999</v>
      </c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</row>
    <row r="39" spans="2:49">
      <c r="B39" s="17" t="s">
        <v>88</v>
      </c>
      <c r="C39" s="36">
        <f>T39</f>
        <v>10.199999999999999</v>
      </c>
      <c r="D39" s="36">
        <f t="shared" si="19"/>
        <v>10.7</v>
      </c>
      <c r="E39" s="36">
        <f t="shared" si="19"/>
        <v>10</v>
      </c>
      <c r="F39" s="36">
        <f t="shared" si="19"/>
        <v>10</v>
      </c>
      <c r="G39" s="36">
        <f t="shared" si="19"/>
        <v>10.1</v>
      </c>
      <c r="H39" s="36">
        <f t="shared" si="19"/>
        <v>10.3</v>
      </c>
      <c r="I39" s="36">
        <f t="shared" si="19"/>
        <v>10.199999999999999</v>
      </c>
      <c r="J39" s="36">
        <f t="shared" si="19"/>
        <v>9.9</v>
      </c>
      <c r="K39" s="36">
        <f t="shared" si="19"/>
        <v>9.3000000000000007</v>
      </c>
      <c r="L39" s="36">
        <f t="shared" si="19"/>
        <v>9.4</v>
      </c>
      <c r="M39" s="36">
        <f t="shared" si="19"/>
        <v>9.9</v>
      </c>
      <c r="N39" s="36">
        <f t="shared" si="19"/>
        <v>10.1</v>
      </c>
      <c r="O39" s="36">
        <f t="shared" si="19"/>
        <v>10.7</v>
      </c>
      <c r="P39" s="36">
        <f t="shared" si="19"/>
        <v>10</v>
      </c>
      <c r="Q39" s="27"/>
      <c r="R39" s="27"/>
      <c r="S39" s="18" t="s">
        <v>82</v>
      </c>
      <c r="T39" s="9">
        <v>10.199999999999999</v>
      </c>
      <c r="U39" s="9">
        <v>10.7</v>
      </c>
      <c r="V39" s="9">
        <v>10</v>
      </c>
      <c r="W39" s="9">
        <v>10</v>
      </c>
      <c r="X39" s="9">
        <v>10.1</v>
      </c>
      <c r="Y39" s="9">
        <v>10.3</v>
      </c>
      <c r="Z39" s="9">
        <v>10.199999999999999</v>
      </c>
      <c r="AA39" s="9">
        <v>9.9</v>
      </c>
      <c r="AB39" s="9">
        <v>9.3000000000000007</v>
      </c>
      <c r="AC39" s="9">
        <v>9.4</v>
      </c>
      <c r="AD39" s="9">
        <v>9.9</v>
      </c>
      <c r="AE39" s="9">
        <v>10.1</v>
      </c>
      <c r="AF39" s="9">
        <v>10.7</v>
      </c>
      <c r="AG39" s="9">
        <v>10</v>
      </c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</row>
    <row r="40" spans="2:49">
      <c r="B40" s="46" t="s">
        <v>100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27"/>
      <c r="R40" s="27"/>
      <c r="S40" s="18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19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</row>
    <row r="41" spans="2:49">
      <c r="B41" s="18" t="s">
        <v>59</v>
      </c>
      <c r="C41" s="34">
        <f>T41</f>
        <v>8.6999999999999993</v>
      </c>
      <c r="D41" s="34">
        <f t="shared" ref="D41:P42" si="20">U41</f>
        <v>9.1999999999999993</v>
      </c>
      <c r="E41" s="34">
        <f t="shared" si="20"/>
        <v>9.1999999999999993</v>
      </c>
      <c r="F41" s="34">
        <f t="shared" si="20"/>
        <v>8.6999999999999993</v>
      </c>
      <c r="G41" s="34">
        <f t="shared" si="20"/>
        <v>9</v>
      </c>
      <c r="H41" s="34">
        <f t="shared" si="20"/>
        <v>8.9</v>
      </c>
      <c r="I41" s="34">
        <f t="shared" si="20"/>
        <v>9</v>
      </c>
      <c r="J41" s="34">
        <f t="shared" si="20"/>
        <v>9</v>
      </c>
      <c r="K41" s="34">
        <f t="shared" si="20"/>
        <v>9</v>
      </c>
      <c r="L41" s="34">
        <f t="shared" si="20"/>
        <v>8.6999999999999993</v>
      </c>
      <c r="M41" s="34">
        <f t="shared" si="20"/>
        <v>8.9</v>
      </c>
      <c r="N41" s="34">
        <f t="shared" si="20"/>
        <v>8.6999999999999993</v>
      </c>
      <c r="O41" s="34">
        <f t="shared" si="20"/>
        <v>9</v>
      </c>
      <c r="P41" s="34">
        <f t="shared" si="20"/>
        <v>9</v>
      </c>
      <c r="Q41" s="27"/>
      <c r="R41" s="27"/>
      <c r="S41" s="18" t="s">
        <v>85</v>
      </c>
      <c r="T41" s="9">
        <v>8.6999999999999993</v>
      </c>
      <c r="U41" s="9">
        <v>9.1999999999999993</v>
      </c>
      <c r="V41" s="9">
        <v>9.1999999999999993</v>
      </c>
      <c r="W41" s="9">
        <v>8.6999999999999993</v>
      </c>
      <c r="X41" s="9">
        <v>9</v>
      </c>
      <c r="Y41" s="9">
        <v>8.9</v>
      </c>
      <c r="Z41" s="9">
        <v>9</v>
      </c>
      <c r="AA41" s="9">
        <v>9</v>
      </c>
      <c r="AB41" s="9">
        <v>9</v>
      </c>
      <c r="AC41" s="9">
        <v>8.6999999999999993</v>
      </c>
      <c r="AD41" s="9">
        <v>8.9</v>
      </c>
      <c r="AE41" s="9">
        <v>8.6999999999999993</v>
      </c>
      <c r="AF41" s="9">
        <v>9</v>
      </c>
      <c r="AG41" s="9">
        <v>9</v>
      </c>
      <c r="AH41" s="19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</row>
    <row r="42" spans="2:49" ht="15.75" thickBot="1">
      <c r="B42" s="21" t="s">
        <v>60</v>
      </c>
      <c r="C42" s="35">
        <f>T42</f>
        <v>8.5</v>
      </c>
      <c r="D42" s="35">
        <f t="shared" si="20"/>
        <v>9.1</v>
      </c>
      <c r="E42" s="35">
        <f t="shared" si="20"/>
        <v>9.1</v>
      </c>
      <c r="F42" s="35">
        <f t="shared" si="20"/>
        <v>8.6</v>
      </c>
      <c r="G42" s="35">
        <f t="shared" si="20"/>
        <v>9</v>
      </c>
      <c r="H42" s="35">
        <f t="shared" si="20"/>
        <v>8.8000000000000007</v>
      </c>
      <c r="I42" s="35">
        <f t="shared" si="20"/>
        <v>8.9</v>
      </c>
      <c r="J42" s="35">
        <f t="shared" si="20"/>
        <v>9.1999999999999993</v>
      </c>
      <c r="K42" s="35">
        <f t="shared" si="20"/>
        <v>9.1</v>
      </c>
      <c r="L42" s="35">
        <f t="shared" si="20"/>
        <v>8.6</v>
      </c>
      <c r="M42" s="35">
        <f t="shared" si="20"/>
        <v>8.8000000000000007</v>
      </c>
      <c r="N42" s="35">
        <f t="shared" si="20"/>
        <v>8.5</v>
      </c>
      <c r="O42" s="35">
        <f t="shared" si="20"/>
        <v>8.9</v>
      </c>
      <c r="P42" s="35">
        <f t="shared" si="20"/>
        <v>8.8000000000000007</v>
      </c>
      <c r="Q42" s="27"/>
      <c r="R42" s="27"/>
      <c r="S42" s="18" t="s">
        <v>86</v>
      </c>
      <c r="T42" s="9">
        <v>8.5</v>
      </c>
      <c r="U42" s="9">
        <v>9.1</v>
      </c>
      <c r="V42" s="9">
        <v>9.1</v>
      </c>
      <c r="W42" s="9">
        <v>8.6</v>
      </c>
      <c r="X42" s="9">
        <v>9</v>
      </c>
      <c r="Y42" s="9">
        <v>8.8000000000000007</v>
      </c>
      <c r="Z42" s="9">
        <v>8.9</v>
      </c>
      <c r="AA42" s="9">
        <v>9.1999999999999993</v>
      </c>
      <c r="AB42" s="9">
        <v>9.1</v>
      </c>
      <c r="AC42" s="9">
        <v>8.6</v>
      </c>
      <c r="AD42" s="9">
        <v>8.8000000000000007</v>
      </c>
      <c r="AE42" s="9">
        <v>8.5</v>
      </c>
      <c r="AF42" s="9">
        <v>8.9</v>
      </c>
      <c r="AG42" s="9">
        <v>8.8000000000000007</v>
      </c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</row>
    <row r="43" spans="2:49" ht="15" customHeight="1">
      <c r="B43" s="43" t="s">
        <v>104</v>
      </c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27"/>
      <c r="R43" s="27"/>
      <c r="S43" s="18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</row>
    <row r="44" spans="2:49" ht="14.45" customHeight="1"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27"/>
      <c r="R44" s="27"/>
      <c r="S44" s="18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</row>
    <row r="45" spans="2:49"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27"/>
      <c r="R45" s="27"/>
      <c r="S45" s="18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</row>
    <row r="46" spans="2:49"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27"/>
      <c r="R46" s="27"/>
      <c r="S46" s="18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</row>
    <row r="47" spans="2:49"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27"/>
      <c r="R47" s="27"/>
      <c r="S47" s="18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</row>
    <row r="48" spans="2:49"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27"/>
      <c r="R48" s="27"/>
      <c r="S48" s="1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</row>
    <row r="49" spans="2:49"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27"/>
      <c r="R49" s="27"/>
      <c r="S49" s="18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</row>
    <row r="50" spans="2:49">
      <c r="B50" s="26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18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</row>
    <row r="51" spans="2:49">
      <c r="B51" s="26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18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</row>
    <row r="52" spans="2:49">
      <c r="B52" s="26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18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</row>
    <row r="53" spans="2:49">
      <c r="B53" s="26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18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</row>
    <row r="54" spans="2:49">
      <c r="B54" s="26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18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</row>
    <row r="55" spans="2:49">
      <c r="B55" s="26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18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</row>
    <row r="56" spans="2:49">
      <c r="B56" s="26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18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</row>
    <row r="57" spans="2:49">
      <c r="B57" s="17"/>
      <c r="S57" s="18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</row>
    <row r="58" spans="2:49">
      <c r="B58" s="17"/>
      <c r="S58" s="1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</row>
    <row r="59" spans="2:49">
      <c r="B59" s="17"/>
      <c r="S59" s="18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</row>
    <row r="60" spans="2:49">
      <c r="B60" s="17"/>
      <c r="S60" s="18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</row>
    <row r="61" spans="2:49">
      <c r="B61" s="17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</row>
    <row r="62" spans="2:49">
      <c r="B62" s="17"/>
      <c r="S62" s="18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</row>
    <row r="63" spans="2:49">
      <c r="B63" s="17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</row>
    <row r="64" spans="2:49"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</row>
    <row r="65" spans="2:49"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</row>
    <row r="66" spans="2:49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</row>
    <row r="67" spans="2:49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</row>
    <row r="70" spans="2:49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</row>
    <row r="71" spans="2:49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</row>
    <row r="73" spans="2:49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</row>
    <row r="74" spans="2:49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</row>
    <row r="76" spans="2:49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</row>
    <row r="77" spans="2:49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</row>
  </sheetData>
  <mergeCells count="8">
    <mergeCell ref="B40:P40"/>
    <mergeCell ref="B43:P48"/>
    <mergeCell ref="B2:P2"/>
    <mergeCell ref="B5:P5"/>
    <mergeCell ref="B18:P18"/>
    <mergeCell ref="B21:P21"/>
    <mergeCell ref="B24:P24"/>
    <mergeCell ref="B37:P3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1904f23-f0db-4cdc-96f7-390bd55fcee8}" enabled="0" method="" siteId="{11904f23-f0db-4cdc-96f7-390bd55fcee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Pracovné hárky</vt:lpstr>
      </vt:variant>
      <vt:variant>
        <vt:i4>8</vt:i4>
      </vt:variant>
    </vt:vector>
  </HeadingPairs>
  <TitlesOfParts>
    <vt:vector size="8" baseType="lpstr">
      <vt:lpstr>Table1</vt:lpstr>
      <vt:lpstr>Table2</vt:lpstr>
      <vt:lpstr>Table3</vt:lpstr>
      <vt:lpstr>TableA1</vt:lpstr>
      <vt:lpstr>TableA2</vt:lpstr>
      <vt:lpstr>TableA3</vt:lpstr>
      <vt:lpstr>TableA4</vt:lpstr>
      <vt:lpstr>TableA5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</dc:creator>
  <cp:lastModifiedBy>Štefan Lyócsa</cp:lastModifiedBy>
  <dcterms:created xsi:type="dcterms:W3CDTF">2015-06-05T18:17:20Z</dcterms:created>
  <dcterms:modified xsi:type="dcterms:W3CDTF">2025-10-26T06:56:48Z</dcterms:modified>
</cp:coreProperties>
</file>